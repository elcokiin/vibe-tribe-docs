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 Backlog" sheetId="1" state="visible" r:id="rId1"/>
    <sheet xmlns:r="http://schemas.openxmlformats.org/officeDocument/2006/relationships" name="Instruc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FFFFFF"/>
      <sz val="10"/>
    </font>
    <font>
      <name val="Calibri"/>
      <color theme="1"/>
      <sz val="11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1A1A1A"/>
      <sz val="9"/>
    </font>
    <font>
      <name val="Arial"/>
      <color rgb="FF1A1A1A"/>
      <sz val="8"/>
    </font>
    <font>
      <name val="Arial"/>
      <color rgb="FF1A1A1A"/>
      <sz val="10"/>
    </font>
    <font>
      <name val="Calibri"/>
      <color theme="1"/>
      <scheme val="minor"/>
    </font>
    <font>
      <name val="Calibri"/>
      <b val="1"/>
      <color rgb="FFFFFFFF"/>
      <scheme val="minor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1A1A1A"/>
      <sz val="9"/>
    </font>
    <font>
      <name val="Calibri"/>
      <b val="1"/>
      <color rgb="FF1A1A1A"/>
      <sz val="9"/>
    </font>
    <font>
      <name val="Calibri"/>
      <color rgb="FF1A1A1A"/>
      <sz val="9"/>
    </font>
    <font>
      <name val="Calibri"/>
      <color rgb="FF1A1A1A"/>
      <sz val="8"/>
    </font>
    <font>
      <name val="Calibri"/>
      <b val="1"/>
      <color rgb="FFFFFFFF"/>
      <sz val="9"/>
    </font>
    <font>
      <name val="Calibri"/>
      <b val="1"/>
      <color rgb="FFFFFFFF"/>
      <sz val="8"/>
    </font>
  </fonts>
  <fills count="14">
    <fill>
      <patternFill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404040"/>
        <bgColor rgb="FF404040"/>
      </patternFill>
    </fill>
    <fill>
      <patternFill patternType="solid">
        <fgColor rgb="FF6D6D6D"/>
        <bgColor rgb="FF6D6D6D"/>
      </patternFill>
    </fill>
    <fill>
      <patternFill patternType="solid">
        <fgColor rgb="FFFFFFFF"/>
        <bgColor rgb="FFFFFFFF"/>
      </patternFill>
    </fill>
    <fill>
      <patternFill patternType="solid">
        <fgColor rgb="FFB0B0B0"/>
        <bgColor rgb="FFB0B0B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B0B0B0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40404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4" applyAlignment="1" pivotButton="0" quotePrefix="0" xfId="0">
      <alignment vertical="bottom"/>
    </xf>
    <xf numFmtId="0" fontId="5" fillId="4" borderId="1" applyAlignment="1" pivotButton="0" quotePrefix="0" xfId="0">
      <alignment horizontal="center" vertical="center"/>
    </xf>
    <xf numFmtId="0" fontId="4" fillId="5" borderId="5" applyAlignment="1" pivotButton="0" quotePrefix="0" xfId="0">
      <alignment vertical="bottom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wrapText="1"/>
    </xf>
    <xf numFmtId="0" fontId="8" fillId="7" borderId="4" applyAlignment="1" pivotButton="0" quotePrefix="0" xfId="0">
      <alignment horizontal="center" wrapText="1"/>
    </xf>
    <xf numFmtId="0" fontId="4" fillId="7" borderId="4" pivotButton="0" quotePrefix="0" xfId="0"/>
    <xf numFmtId="0" fontId="4" fillId="5" borderId="6" applyAlignment="1" pivotButton="0" quotePrefix="0" xfId="0">
      <alignment vertical="bottom"/>
    </xf>
    <xf numFmtId="0" fontId="8" fillId="7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8" fillId="8" borderId="4" applyAlignment="1" pivotButton="0" quotePrefix="0" xfId="0">
      <alignment wrapText="1"/>
    </xf>
    <xf numFmtId="0" fontId="8" fillId="8" borderId="4" applyAlignment="1" pivotButton="0" quotePrefix="0" xfId="0">
      <alignment horizontal="center" wrapText="1"/>
    </xf>
    <xf numFmtId="0" fontId="4" fillId="8" borderId="4" pivotButton="0" quotePrefix="0" xfId="0"/>
    <xf numFmtId="0" fontId="8" fillId="8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wrapText="1"/>
    </xf>
    <xf numFmtId="0" fontId="8" fillId="6" borderId="4" applyAlignment="1" pivotButton="0" quotePrefix="0" xfId="0">
      <alignment wrapText="1"/>
    </xf>
    <xf numFmtId="0" fontId="4" fillId="6" borderId="4" pivotButton="0" quotePrefix="0" xfId="0"/>
    <xf numFmtId="0" fontId="7" fillId="7" borderId="4" applyAlignment="1" pivotButton="0" quotePrefix="0" xfId="0">
      <alignment horizontal="center" wrapText="1"/>
    </xf>
    <xf numFmtId="0" fontId="10" fillId="3" borderId="1" pivotButton="0" quotePrefix="0" xfId="0"/>
    <xf numFmtId="0" fontId="2" fillId="0" borderId="7" pivotButton="0" quotePrefix="0" xfId="0"/>
    <xf numFmtId="0" fontId="11" fillId="3" borderId="1" applyAlignment="1" pivotButton="0" quotePrefix="0" xfId="0">
      <alignment horizontal="right"/>
    </xf>
    <xf numFmtId="0" fontId="5" fillId="3" borderId="4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left" vertical="center" wrapText="1"/>
    </xf>
    <xf numFmtId="0" fontId="14" fillId="8" borderId="4" applyAlignment="1" pivotButton="0" quotePrefix="0" xfId="0">
      <alignment horizontal="left" vertical="center"/>
    </xf>
    <xf numFmtId="0" fontId="14" fillId="8" borderId="4" applyAlignment="1" pivotButton="0" quotePrefix="0" xfId="0">
      <alignment horizontal="left" vertical="center" wrapText="1"/>
    </xf>
    <xf numFmtId="0" fontId="14" fillId="7" borderId="4" applyAlignment="1" pivotButton="0" quotePrefix="0" xfId="0">
      <alignment horizontal="left" vertical="center"/>
    </xf>
    <xf numFmtId="0" fontId="14" fillId="7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8" applyAlignment="1" pivotButton="0" quotePrefix="0" xfId="0">
      <alignment horizontal="left" vertical="center"/>
    </xf>
    <xf numFmtId="0" fontId="5" fillId="4" borderId="8" applyAlignment="1" pivotButton="0" quotePrefix="0" xfId="0">
      <alignment horizontal="center" vertical="center"/>
    </xf>
    <xf numFmtId="0" fontId="15" fillId="9" borderId="11" applyAlignment="1" pivotButton="0" quotePrefix="0" xfId="0">
      <alignment horizontal="center" vertical="center"/>
    </xf>
    <xf numFmtId="0" fontId="15" fillId="9" borderId="11" applyAlignment="1" pivotButton="0" quotePrefix="0" xfId="0">
      <alignment horizontal="left" vertical="center" wrapText="1"/>
    </xf>
    <xf numFmtId="0" fontId="16" fillId="10" borderId="11" applyAlignment="1" pivotButton="0" quotePrefix="0" xfId="0">
      <alignment horizontal="left" vertical="center" wrapText="1"/>
    </xf>
    <xf numFmtId="0" fontId="16" fillId="10" borderId="11" applyAlignment="1" pivotButton="0" quotePrefix="0" xfId="0">
      <alignment horizontal="center" vertical="center"/>
    </xf>
    <xf numFmtId="0" fontId="17" fillId="10" borderId="11" applyAlignment="1" pivotButton="0" quotePrefix="0" xfId="0">
      <alignment horizontal="center" vertical="center"/>
    </xf>
    <xf numFmtId="0" fontId="2" fillId="11" borderId="0" pivotButton="0" quotePrefix="0" xfId="0"/>
    <xf numFmtId="0" fontId="16" fillId="9" borderId="11" applyAlignment="1" pivotButton="0" quotePrefix="0" xfId="0">
      <alignment horizontal="left" vertical="center" wrapText="1"/>
    </xf>
    <xf numFmtId="0" fontId="16" fillId="12" borderId="11" applyAlignment="1" pivotButton="0" quotePrefix="0" xfId="0">
      <alignment horizontal="left" vertical="center" wrapText="1"/>
    </xf>
    <xf numFmtId="0" fontId="16" fillId="12" borderId="11" applyAlignment="1" pivotButton="0" quotePrefix="0" xfId="0">
      <alignment horizontal="center" vertical="center"/>
    </xf>
    <xf numFmtId="0" fontId="17" fillId="12" borderId="11" applyAlignment="1" pivotButton="0" quotePrefix="0" xfId="0">
      <alignment horizontal="center" vertical="center"/>
    </xf>
    <xf numFmtId="0" fontId="15" fillId="10" borderId="11" applyAlignment="1" pivotButton="0" quotePrefix="0" xfId="0">
      <alignment horizontal="center" vertical="center"/>
    </xf>
    <xf numFmtId="0" fontId="15" fillId="10" borderId="11" applyAlignment="1" pivotButton="0" quotePrefix="0" xfId="0">
      <alignment horizontal="left" vertical="center" wrapText="1"/>
    </xf>
    <xf numFmtId="0" fontId="18" fillId="13" borderId="11" applyAlignment="1" pivotButton="0" quotePrefix="0" xfId="0">
      <alignment horizontal="left" vertical="center"/>
    </xf>
    <xf numFmtId="0" fontId="0" fillId="0" borderId="14" pivotButton="0" quotePrefix="0" xfId="0"/>
    <xf numFmtId="0" fontId="18" fillId="13" borderId="11" applyAlignment="1" pivotButton="0" quotePrefix="0" xfId="0">
      <alignment horizontal="right" vertical="center"/>
    </xf>
    <xf numFmtId="0" fontId="0" fillId="0" borderId="15" pivotButton="0" quotePrefix="0" xfId="0"/>
    <xf numFmtId="0" fontId="18" fillId="13" borderId="11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7" pivotButton="0" quotePrefix="0" xfId="0"/>
    <xf numFmtId="0" fontId="12" fillId="2" borderId="8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4.43" defaultRowHeight="15" customHeight="1"/>
  <cols>
    <col width="1.57" customWidth="1" style="38" min="1" max="1"/>
    <col width="12" customWidth="1" style="38" min="2" max="2"/>
    <col width="52" customWidth="1" style="38" min="3" max="3"/>
    <col width="60" customWidth="1" style="38" min="4" max="4"/>
    <col width="14" customWidth="1" style="38" min="5" max="5"/>
    <col width="11" customWidth="1" style="38" min="6" max="6"/>
    <col width="14" customWidth="1" style="38" min="7" max="7"/>
    <col width="13" customWidth="1" style="38" min="8" max="8"/>
    <col width="10" customWidth="1" style="38" min="9" max="9"/>
    <col width="7" customWidth="1" style="38" min="10" max="11"/>
    <col width="1.57" customWidth="1" style="38" min="12" max="12"/>
    <col width="7" customWidth="1" style="38" min="13" max="14"/>
    <col width="1.57" customWidth="1" style="38" min="15" max="15"/>
    <col width="7" customWidth="1" style="38" min="16" max="17"/>
    <col width="1.57" customWidth="1" style="38" min="18" max="18"/>
    <col width="7" customWidth="1" style="38" min="19" max="20"/>
    <col width="1.57" customWidth="1" style="38" min="21" max="21"/>
    <col width="7" customWidth="1" style="38" min="22" max="23"/>
    <col width="1.57" customWidth="1" style="38" min="24" max="24"/>
    <col width="7" customWidth="1" style="38" min="25" max="26"/>
    <col width="1.57" customWidth="1" style="38" min="27" max="27"/>
    <col width="7" customWidth="1" style="38" min="28" max="29"/>
    <col width="1.57" customWidth="1" style="38" min="30" max="30"/>
    <col width="7" customWidth="1" style="38" min="31" max="32"/>
    <col width="1.57" customWidth="1" style="38" min="33" max="33"/>
    <col width="7" customWidth="1" style="38" min="34" max="35"/>
    <col width="1.57" customWidth="1" style="38" min="36" max="36"/>
    <col width="7" customWidth="1" style="38" min="37" max="38"/>
    <col width="1.57" customWidth="1" style="38" min="39" max="39"/>
    <col width="7" customWidth="1" style="38" min="40" max="41"/>
    <col width="1.57" customWidth="1" style="38" min="42" max="42"/>
    <col width="7" customWidth="1" style="38" min="43" max="44"/>
    <col width="1.57" customWidth="1" style="38" min="45" max="45"/>
    <col width="7" customWidth="1" style="38" min="46" max="47"/>
    <col width="1.57" customWidth="1" style="38" min="48" max="48"/>
    <col width="7" customWidth="1" style="38" min="49" max="50"/>
    <col width="1.57" customWidth="1" style="38" min="51" max="51"/>
    <col width="7" customWidth="1" style="38" min="52" max="53"/>
    <col width="1.57" customWidth="1" style="38" min="54" max="54"/>
    <col width="7" customWidth="1" style="38" min="55" max="56"/>
    <col width="1.57" customWidth="1" style="38" min="57" max="57"/>
    <col width="7" customWidth="1" style="38" min="58" max="59"/>
    <col width="1.57" customWidth="1" style="38" min="60" max="60"/>
    <col width="7" customWidth="1" style="38" min="61" max="62"/>
    <col width="1.57" customWidth="1" style="38" min="63" max="63"/>
    <col width="7" customWidth="1" style="38" min="64" max="65"/>
    <col width="1.57" customWidth="1" style="38" min="66" max="66"/>
    <col width="7" customWidth="1" style="38" min="67" max="68"/>
    <col width="1.57" customWidth="1" style="38" min="69" max="69"/>
    <col width="7" customWidth="1" style="38" min="70" max="71"/>
    <col width="1.57" customWidth="1" style="38" min="72" max="72"/>
    <col width="8" customWidth="1" style="38" min="73" max="74"/>
  </cols>
  <sheetData>
    <row r="1" ht="27.75" customHeight="1" s="38">
      <c r="B1" s="39" t="inlineStr">
        <is>
          <t>SPRINT BACKLOG 3 — VibeTribe</t>
        </is>
      </c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</row>
    <row r="2" ht="19.5" customHeight="1" s="38">
      <c r="B2" s="41" t="inlineStr">
        <is>
          <t>Proyecto: VibeTribe — Aplicación Móvil de Viajes Colaborativos  |  Sprint 3  |  Fecha inicio: 23/04/2026  |  Fecha fin: 06/05/2026</t>
        </is>
      </c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</row>
    <row r="3" ht="18" customHeight="1" s="38">
      <c r="B3" s="5" t="n"/>
      <c r="C3" s="5" t="n"/>
      <c r="D3" s="5" t="n"/>
      <c r="E3" s="5" t="n"/>
      <c r="F3" s="5" t="n"/>
      <c r="G3" s="5" t="n"/>
      <c r="H3" s="5" t="n"/>
      <c r="I3" s="5" t="n"/>
      <c r="J3" s="42" t="inlineStr">
        <is>
          <t>Día 1</t>
        </is>
      </c>
      <c r="K3" s="40" t="n"/>
      <c r="L3" s="7" t="n"/>
      <c r="M3" s="42" t="inlineStr">
        <is>
          <t>Día 2</t>
        </is>
      </c>
      <c r="N3" s="40" t="n"/>
      <c r="O3" s="7" t="n"/>
      <c r="P3" s="42" t="inlineStr">
        <is>
          <t>Día 3</t>
        </is>
      </c>
      <c r="Q3" s="40" t="n"/>
      <c r="R3" s="7" t="n"/>
      <c r="S3" s="42" t="inlineStr">
        <is>
          <t>Día 4</t>
        </is>
      </c>
      <c r="T3" s="40" t="n"/>
      <c r="U3" s="7" t="n"/>
      <c r="V3" s="42" t="inlineStr">
        <is>
          <t>Día 5</t>
        </is>
      </c>
      <c r="W3" s="40" t="n"/>
      <c r="X3" s="7" t="n"/>
      <c r="Y3" s="42" t="inlineStr">
        <is>
          <t>Día 6</t>
        </is>
      </c>
      <c r="Z3" s="40" t="n"/>
      <c r="AA3" s="7" t="n"/>
      <c r="AB3" s="42" t="inlineStr">
        <is>
          <t>Día 7</t>
        </is>
      </c>
      <c r="AC3" s="40" t="n"/>
      <c r="AD3" s="7" t="n"/>
      <c r="AE3" s="42" t="inlineStr">
        <is>
          <t>Día 8</t>
        </is>
      </c>
      <c r="AF3" s="40" t="n"/>
      <c r="AG3" s="7" t="n"/>
      <c r="AH3" s="42" t="inlineStr">
        <is>
          <t>Día 9</t>
        </is>
      </c>
      <c r="AI3" s="40" t="n"/>
      <c r="AJ3" s="7" t="n"/>
      <c r="AK3" s="42" t="inlineStr">
        <is>
          <t>Día 10</t>
        </is>
      </c>
      <c r="AL3" s="40" t="n"/>
      <c r="AM3" s="7" t="n"/>
      <c r="AN3" s="42" t="inlineStr">
        <is>
          <t>Día 11</t>
        </is>
      </c>
      <c r="AO3" s="40" t="n"/>
      <c r="AP3" s="7" t="n"/>
      <c r="AQ3" s="42" t="inlineStr">
        <is>
          <t>Día 12</t>
        </is>
      </c>
      <c r="AR3" s="40" t="n"/>
      <c r="AS3" s="7" t="n"/>
      <c r="AT3" s="42" t="inlineStr">
        <is>
          <t>Día 13</t>
        </is>
      </c>
      <c r="AU3" s="40" t="n"/>
      <c r="AV3" s="7" t="n"/>
      <c r="AW3" s="42" t="inlineStr">
        <is>
          <t>Día 14</t>
        </is>
      </c>
      <c r="AX3" s="40" t="n"/>
      <c r="AY3" s="7" t="n"/>
      <c r="AZ3" s="42" t="inlineStr">
        <is>
          <t>Día 15</t>
        </is>
      </c>
      <c r="BA3" s="40" t="n"/>
      <c r="BB3" s="7" t="n"/>
      <c r="BC3" s="42" t="inlineStr">
        <is>
          <t>Día 16</t>
        </is>
      </c>
      <c r="BD3" s="40" t="n"/>
      <c r="BE3" s="7" t="n"/>
      <c r="BF3" s="42" t="inlineStr">
        <is>
          <t>Día 17</t>
        </is>
      </c>
      <c r="BG3" s="40" t="n"/>
      <c r="BH3" s="7" t="n"/>
      <c r="BI3" s="42" t="inlineStr">
        <is>
          <t>Día 18</t>
        </is>
      </c>
      <c r="BJ3" s="40" t="n"/>
      <c r="BK3" s="7" t="n"/>
      <c r="BL3" s="42" t="inlineStr">
        <is>
          <t>Día 19</t>
        </is>
      </c>
      <c r="BM3" s="40" t="n"/>
      <c r="BN3" s="7" t="n"/>
      <c r="BO3" s="42" t="inlineStr">
        <is>
          <t>Día 20</t>
        </is>
      </c>
      <c r="BP3" s="40" t="n"/>
      <c r="BQ3" s="7" t="n"/>
      <c r="BR3" s="42" t="inlineStr">
        <is>
          <t>Día 21</t>
        </is>
      </c>
      <c r="BS3" s="40" t="n"/>
      <c r="BT3" s="7" t="n"/>
      <c r="BU3" s="42" t="inlineStr">
        <is>
          <t>Total</t>
        </is>
      </c>
      <c r="BV3" s="40" t="n"/>
    </row>
    <row r="4" ht="42" customHeight="1" s="38">
      <c r="B4" s="8" t="inlineStr">
        <is>
          <t>ID Historia</t>
        </is>
      </c>
      <c r="C4" s="8" t="inlineStr">
        <is>
          <t>Enunciado del ítem de Product Backlog</t>
        </is>
      </c>
      <c r="D4" s="8" t="inlineStr">
        <is>
          <t>Tarea</t>
        </is>
      </c>
      <c r="E4" s="8" t="inlineStr">
        <is>
          <t>Responsable</t>
        </is>
      </c>
      <c r="F4" s="8" t="inlineStr">
        <is>
          <t>Prioridad</t>
        </is>
      </c>
      <c r="G4" s="8" t="inlineStr">
        <is>
          <t>Tarea Predecesora</t>
        </is>
      </c>
      <c r="H4" s="8" t="inlineStr">
        <is>
          <t>Estatus</t>
        </is>
      </c>
      <c r="I4" s="8" t="inlineStr">
        <is>
          <t>Horas Est.</t>
        </is>
      </c>
      <c r="J4" s="9" t="inlineStr">
        <is>
          <t>Cons.</t>
        </is>
      </c>
      <c r="K4" s="9" t="inlineStr">
        <is>
          <t>Rest.</t>
        </is>
      </c>
      <c r="L4" s="7" t="n"/>
      <c r="M4" s="9" t="inlineStr">
        <is>
          <t>Cons.</t>
        </is>
      </c>
      <c r="N4" s="9" t="inlineStr">
        <is>
          <t>Rest.</t>
        </is>
      </c>
      <c r="O4" s="7" t="n"/>
      <c r="P4" s="9" t="inlineStr">
        <is>
          <t>Cons.</t>
        </is>
      </c>
      <c r="Q4" s="9" t="inlineStr">
        <is>
          <t>Rest.</t>
        </is>
      </c>
      <c r="R4" s="7" t="n"/>
      <c r="S4" s="9" t="inlineStr">
        <is>
          <t>Cons.</t>
        </is>
      </c>
      <c r="T4" s="9" t="inlineStr">
        <is>
          <t>Rest.</t>
        </is>
      </c>
      <c r="U4" s="7" t="n"/>
      <c r="V4" s="9" t="inlineStr">
        <is>
          <t>Cons.</t>
        </is>
      </c>
      <c r="W4" s="9" t="inlineStr">
        <is>
          <t>Rest.</t>
        </is>
      </c>
      <c r="X4" s="7" t="n"/>
      <c r="Y4" s="9" t="inlineStr">
        <is>
          <t>Cons.</t>
        </is>
      </c>
      <c r="Z4" s="9" t="inlineStr">
        <is>
          <t>Rest.</t>
        </is>
      </c>
      <c r="AA4" s="7" t="n"/>
      <c r="AB4" s="9" t="inlineStr">
        <is>
          <t>Cons.</t>
        </is>
      </c>
      <c r="AC4" s="9" t="inlineStr">
        <is>
          <t>Rest.</t>
        </is>
      </c>
      <c r="AD4" s="7" t="n"/>
      <c r="AE4" s="9" t="inlineStr">
        <is>
          <t>Cons.</t>
        </is>
      </c>
      <c r="AF4" s="9" t="inlineStr">
        <is>
          <t>Rest.</t>
        </is>
      </c>
      <c r="AG4" s="7" t="n"/>
      <c r="AH4" s="9" t="inlineStr">
        <is>
          <t>Cons.</t>
        </is>
      </c>
      <c r="AI4" s="9" t="inlineStr">
        <is>
          <t>Rest.</t>
        </is>
      </c>
      <c r="AJ4" s="7" t="n"/>
      <c r="AK4" s="9" t="inlineStr">
        <is>
          <t>Cons.</t>
        </is>
      </c>
      <c r="AL4" s="9" t="inlineStr">
        <is>
          <t>Rest.</t>
        </is>
      </c>
      <c r="AM4" s="7" t="n"/>
      <c r="AN4" s="9" t="inlineStr">
        <is>
          <t>Cons.</t>
        </is>
      </c>
      <c r="AO4" s="9" t="inlineStr">
        <is>
          <t>Rest.</t>
        </is>
      </c>
      <c r="AP4" s="7" t="n"/>
      <c r="AQ4" s="9" t="inlineStr">
        <is>
          <t>Cons.</t>
        </is>
      </c>
      <c r="AR4" s="9" t="inlineStr">
        <is>
          <t>Rest.</t>
        </is>
      </c>
      <c r="AS4" s="7" t="n"/>
      <c r="AT4" s="9" t="inlineStr">
        <is>
          <t>Cons.</t>
        </is>
      </c>
      <c r="AU4" s="9" t="inlineStr">
        <is>
          <t>Rest.</t>
        </is>
      </c>
      <c r="AV4" s="7" t="n"/>
      <c r="AW4" s="9" t="inlineStr">
        <is>
          <t>Cons.</t>
        </is>
      </c>
      <c r="AX4" s="9" t="inlineStr">
        <is>
          <t>Rest.</t>
        </is>
      </c>
      <c r="AY4" s="7" t="n"/>
      <c r="AZ4" s="9" t="inlineStr">
        <is>
          <t>Cons.</t>
        </is>
      </c>
      <c r="BA4" s="9" t="inlineStr">
        <is>
          <t>Rest.</t>
        </is>
      </c>
      <c r="BB4" s="7" t="n"/>
      <c r="BC4" s="9" t="inlineStr">
        <is>
          <t>Cons.</t>
        </is>
      </c>
      <c r="BD4" s="9" t="inlineStr">
        <is>
          <t>Rest.</t>
        </is>
      </c>
      <c r="BE4" s="7" t="n"/>
      <c r="BF4" s="9" t="inlineStr">
        <is>
          <t>Cons.</t>
        </is>
      </c>
      <c r="BG4" s="9" t="inlineStr">
        <is>
          <t>Rest.</t>
        </is>
      </c>
      <c r="BH4" s="7" t="n"/>
      <c r="BI4" s="9" t="inlineStr">
        <is>
          <t>Cons.</t>
        </is>
      </c>
      <c r="BJ4" s="9" t="inlineStr">
        <is>
          <t>Rest.</t>
        </is>
      </c>
      <c r="BK4" s="7" t="n"/>
      <c r="BL4" s="9" t="inlineStr">
        <is>
          <t>Cons.</t>
        </is>
      </c>
      <c r="BM4" s="9" t="inlineStr">
        <is>
          <t>Rest.</t>
        </is>
      </c>
      <c r="BN4" s="7" t="n"/>
      <c r="BO4" s="9" t="inlineStr">
        <is>
          <t>Cons.</t>
        </is>
      </c>
      <c r="BP4" s="9" t="inlineStr">
        <is>
          <t>Rest.</t>
        </is>
      </c>
      <c r="BQ4" s="7" t="n"/>
      <c r="BR4" s="9" t="inlineStr">
        <is>
          <t>Cons.</t>
        </is>
      </c>
      <c r="BS4" s="9" t="inlineStr">
        <is>
          <t>Rest.</t>
        </is>
      </c>
      <c r="BT4" s="7" t="n"/>
      <c r="BU4" s="9" t="inlineStr">
        <is>
          <t>Cons.</t>
        </is>
      </c>
      <c r="BV4" s="9" t="inlineStr">
        <is>
          <t>Rest.</t>
        </is>
      </c>
    </row>
    <row r="5" ht="30" customHeight="1" s="38">
      <c r="B5" s="43" t="inlineStr">
        <is>
          <t>BT-07</t>
        </is>
      </c>
      <c r="C5" s="44" t="inlineStr">
        <is>
          <t>Setup de API REST para el módulo de Inscripción a Paquetes de Viaje con Node.js, Hono y PostgreSQL en AWS RDS</t>
        </is>
      </c>
      <c r="D5" s="45" t="inlineStr">
        <is>
          <t>T-46 — Definir y migrar esquema de base de datos: tabla enrollments con campos user_id, package_id, status y enrolled_at</t>
        </is>
      </c>
      <c r="E5" s="46" t="inlineStr">
        <is>
          <t>Camilo</t>
        </is>
      </c>
      <c r="F5" s="46" t="inlineStr">
        <is>
          <t>Alta</t>
        </is>
      </c>
      <c r="G5" s="46" t="inlineStr">
        <is>
          <t>Ninguna</t>
        </is>
      </c>
      <c r="H5" s="46" t="inlineStr">
        <is>
          <t>Pendiente</t>
        </is>
      </c>
      <c r="I5" s="46" t="n">
        <v>3</v>
      </c>
      <c r="J5" s="47" t="n"/>
      <c r="K5" s="47" t="n">
        <v>3</v>
      </c>
      <c r="L5" s="48" t="n"/>
      <c r="M5" s="47" t="n"/>
      <c r="N5" s="47" t="n"/>
      <c r="O5" s="48" t="n"/>
      <c r="P5" s="47" t="n"/>
      <c r="Q5" s="47" t="n"/>
      <c r="R5" s="48" t="n"/>
      <c r="S5" s="47" t="n"/>
      <c r="T5" s="47" t="n"/>
      <c r="U5" s="48" t="n"/>
      <c r="V5" s="47" t="n"/>
      <c r="W5" s="47" t="n"/>
      <c r="X5" s="48" t="n"/>
      <c r="Y5" s="47" t="n"/>
      <c r="Z5" s="47" t="n"/>
      <c r="AA5" s="48" t="n"/>
      <c r="AB5" s="47" t="n"/>
      <c r="AC5" s="47" t="n"/>
      <c r="AD5" s="48" t="n"/>
      <c r="AE5" s="47" t="n"/>
      <c r="AF5" s="47" t="n"/>
      <c r="AG5" s="48" t="n"/>
      <c r="AH5" s="47" t="n"/>
      <c r="AI5" s="47" t="n"/>
      <c r="AJ5" s="48" t="n"/>
      <c r="AK5" s="47" t="n"/>
      <c r="AL5" s="47" t="n"/>
      <c r="AM5" s="48" t="n"/>
      <c r="AN5" s="47" t="n"/>
      <c r="AO5" s="47" t="n"/>
      <c r="AP5" s="48" t="n"/>
      <c r="AQ5" s="47" t="n"/>
      <c r="AR5" s="47" t="n"/>
      <c r="AS5" s="48" t="n"/>
      <c r="AT5" s="47" t="n"/>
      <c r="AU5" s="47" t="n"/>
      <c r="AV5" s="48" t="n"/>
      <c r="AW5" s="47" t="n"/>
      <c r="AX5" s="47" t="n"/>
      <c r="AY5" s="48" t="n"/>
      <c r="AZ5" s="47" t="n"/>
      <c r="BA5" s="47" t="n"/>
      <c r="BB5" s="48" t="n"/>
      <c r="BC5" s="47" t="n"/>
      <c r="BD5" s="47" t="n"/>
      <c r="BE5" s="48" t="n"/>
      <c r="BF5" s="47" t="n"/>
      <c r="BG5" s="47" t="n"/>
      <c r="BH5" s="48" t="n"/>
      <c r="BI5" s="47" t="n"/>
      <c r="BJ5" s="47" t="n"/>
      <c r="BK5" s="48" t="n"/>
      <c r="BL5" s="47" t="n"/>
      <c r="BM5" s="47" t="n"/>
      <c r="BN5" s="48" t="n"/>
      <c r="BO5" s="47" t="n"/>
      <c r="BP5" s="47" t="n"/>
      <c r="BQ5" s="48" t="n"/>
      <c r="BR5" s="47" t="n"/>
      <c r="BS5" s="47" t="n"/>
      <c r="BT5" s="48" t="n"/>
      <c r="BU5" s="47">
        <f>SUM(J5,M5,P5,S5,V5,Y5,AB5,AE5,AH5,AK5,AN5,AQ5,AT5,AW5,AZ5,BC5,BF5,BI5,BL5,BO5,BR5)</f>
        <v/>
      </c>
      <c r="BV5" s="47">
        <f>BS5</f>
        <v/>
      </c>
    </row>
    <row r="6" ht="30" customHeight="1" s="38">
      <c r="B6" s="43" t="n"/>
      <c r="C6" s="49" t="n"/>
      <c r="D6" s="50" t="inlineStr">
        <is>
          <t>T-47 — Implementar endpoint POST /packages/:id/enroll con validación de cupos disponibles, verificación de duplicados y transacción atómica en base de datos</t>
        </is>
      </c>
      <c r="E6" s="51" t="inlineStr">
        <is>
          <t>Juan José</t>
        </is>
      </c>
      <c r="F6" s="51" t="inlineStr">
        <is>
          <t>Alta</t>
        </is>
      </c>
      <c r="G6" s="51" t="inlineStr">
        <is>
          <t>T-46</t>
        </is>
      </c>
      <c r="H6" s="51" t="inlineStr">
        <is>
          <t>Pendiente</t>
        </is>
      </c>
      <c r="I6" s="51" t="n">
        <v>5</v>
      </c>
      <c r="J6" s="52" t="n"/>
      <c r="K6" s="52" t="n">
        <v>5</v>
      </c>
      <c r="L6" s="48" t="n"/>
      <c r="M6" s="52" t="n"/>
      <c r="N6" s="52" t="n"/>
      <c r="O6" s="48" t="n"/>
      <c r="P6" s="52" t="n"/>
      <c r="Q6" s="52" t="n"/>
      <c r="R6" s="48" t="n"/>
      <c r="S6" s="52" t="n"/>
      <c r="T6" s="52" t="n"/>
      <c r="U6" s="48" t="n"/>
      <c r="V6" s="52" t="n"/>
      <c r="W6" s="52" t="n"/>
      <c r="X6" s="48" t="n"/>
      <c r="Y6" s="52" t="n"/>
      <c r="Z6" s="52" t="n"/>
      <c r="AA6" s="48" t="n"/>
      <c r="AB6" s="52" t="n"/>
      <c r="AC6" s="52" t="n"/>
      <c r="AD6" s="48" t="n"/>
      <c r="AE6" s="52" t="n"/>
      <c r="AF6" s="52" t="n"/>
      <c r="AG6" s="48" t="n"/>
      <c r="AH6" s="52" t="n"/>
      <c r="AI6" s="52" t="n"/>
      <c r="AJ6" s="48" t="n"/>
      <c r="AK6" s="52" t="n"/>
      <c r="AL6" s="52" t="n"/>
      <c r="AM6" s="48" t="n"/>
      <c r="AN6" s="52" t="n"/>
      <c r="AO6" s="52" t="n"/>
      <c r="AP6" s="48" t="n"/>
      <c r="AQ6" s="52" t="n"/>
      <c r="AR6" s="52" t="n"/>
      <c r="AS6" s="48" t="n"/>
      <c r="AT6" s="52" t="n"/>
      <c r="AU6" s="52" t="n"/>
      <c r="AV6" s="48" t="n"/>
      <c r="AW6" s="52" t="n"/>
      <c r="AX6" s="52" t="n"/>
      <c r="AY6" s="48" t="n"/>
      <c r="AZ6" s="52" t="n"/>
      <c r="BA6" s="52" t="n"/>
      <c r="BB6" s="48" t="n"/>
      <c r="BC6" s="52" t="n"/>
      <c r="BD6" s="52" t="n"/>
      <c r="BE6" s="48" t="n"/>
      <c r="BF6" s="52" t="n"/>
      <c r="BG6" s="52" t="n"/>
      <c r="BH6" s="48" t="n"/>
      <c r="BI6" s="52" t="n"/>
      <c r="BJ6" s="52" t="n"/>
      <c r="BK6" s="48" t="n"/>
      <c r="BL6" s="52" t="n"/>
      <c r="BM6" s="52" t="n"/>
      <c r="BN6" s="48" t="n"/>
      <c r="BO6" s="52" t="n"/>
      <c r="BP6" s="52" t="n"/>
      <c r="BQ6" s="48" t="n"/>
      <c r="BR6" s="52" t="n"/>
      <c r="BS6" s="52" t="n"/>
      <c r="BT6" s="48" t="n"/>
      <c r="BU6" s="52">
        <f>SUM(J6,M6,P6,S6,V6,Y6,AB6,AE6,AH6,AK6,AN6,AQ6,AT6,AW6,AZ6,BC6,BF6,BI6,BL6,BO6,BR6)</f>
        <v/>
      </c>
      <c r="BV6" s="52">
        <f>BS6</f>
        <v/>
      </c>
    </row>
    <row r="7" ht="30" customHeight="1" s="38">
      <c r="B7" s="43" t="n"/>
      <c r="C7" s="49" t="n"/>
      <c r="D7" s="45" t="inlineStr">
        <is>
          <t>T-48 — Implementar endpoint GET /packages/:id/enrollments para obtener la lista completa de participantes inscritos en el paquete</t>
        </is>
      </c>
      <c r="E7" s="46" t="inlineStr">
        <is>
          <t>Juan José</t>
        </is>
      </c>
      <c r="F7" s="46" t="inlineStr">
        <is>
          <t>Alta</t>
        </is>
      </c>
      <c r="G7" s="46" t="inlineStr">
        <is>
          <t>T-47</t>
        </is>
      </c>
      <c r="H7" s="46" t="inlineStr">
        <is>
          <t>Pendiente</t>
        </is>
      </c>
      <c r="I7" s="46" t="n">
        <v>3</v>
      </c>
      <c r="J7" s="47" t="n"/>
      <c r="K7" s="47" t="n">
        <v>3</v>
      </c>
      <c r="L7" s="48" t="n"/>
      <c r="M7" s="47" t="n"/>
      <c r="N7" s="47" t="n"/>
      <c r="O7" s="48" t="n"/>
      <c r="P7" s="47" t="n"/>
      <c r="Q7" s="47" t="n"/>
      <c r="R7" s="48" t="n"/>
      <c r="S7" s="47" t="n"/>
      <c r="T7" s="47" t="n"/>
      <c r="U7" s="48" t="n"/>
      <c r="V7" s="47" t="n"/>
      <c r="W7" s="47" t="n"/>
      <c r="X7" s="48" t="n"/>
      <c r="Y7" s="47" t="n"/>
      <c r="Z7" s="47" t="n"/>
      <c r="AA7" s="48" t="n"/>
      <c r="AB7" s="47" t="n"/>
      <c r="AC7" s="47" t="n"/>
      <c r="AD7" s="48" t="n"/>
      <c r="AE7" s="47" t="n"/>
      <c r="AF7" s="47" t="n"/>
      <c r="AG7" s="48" t="n"/>
      <c r="AH7" s="47" t="n"/>
      <c r="AI7" s="47" t="n"/>
      <c r="AJ7" s="48" t="n"/>
      <c r="AK7" s="47" t="n"/>
      <c r="AL7" s="47" t="n"/>
      <c r="AM7" s="48" t="n"/>
      <c r="AN7" s="47" t="n"/>
      <c r="AO7" s="47" t="n"/>
      <c r="AP7" s="48" t="n"/>
      <c r="AQ7" s="47" t="n"/>
      <c r="AR7" s="47" t="n"/>
      <c r="AS7" s="48" t="n"/>
      <c r="AT7" s="47" t="n"/>
      <c r="AU7" s="47" t="n"/>
      <c r="AV7" s="48" t="n"/>
      <c r="AW7" s="47" t="n"/>
      <c r="AX7" s="47" t="n"/>
      <c r="AY7" s="48" t="n"/>
      <c r="AZ7" s="47" t="n"/>
      <c r="BA7" s="47" t="n"/>
      <c r="BB7" s="48" t="n"/>
      <c r="BC7" s="47" t="n"/>
      <c r="BD7" s="47" t="n"/>
      <c r="BE7" s="48" t="n"/>
      <c r="BF7" s="47" t="n"/>
      <c r="BG7" s="47" t="n"/>
      <c r="BH7" s="48" t="n"/>
      <c r="BI7" s="47" t="n"/>
      <c r="BJ7" s="47" t="n"/>
      <c r="BK7" s="48" t="n"/>
      <c r="BL7" s="47" t="n"/>
      <c r="BM7" s="47" t="n"/>
      <c r="BN7" s="48" t="n"/>
      <c r="BO7" s="47" t="n"/>
      <c r="BP7" s="47" t="n"/>
      <c r="BQ7" s="48" t="n"/>
      <c r="BR7" s="47" t="n"/>
      <c r="BS7" s="47" t="n"/>
      <c r="BT7" s="48" t="n"/>
      <c r="BU7" s="47">
        <f>SUM(J7,M7,P7,S7,V7,Y7,AB7,AE7,AH7,AK7,AN7,AQ7,AT7,AW7,AZ7,BC7,BF7,BI7,BL7,BO7,BR7)</f>
        <v/>
      </c>
      <c r="BV7" s="47">
        <f>BS7</f>
        <v/>
      </c>
    </row>
    <row r="8" ht="30" customHeight="1" s="38">
      <c r="B8" s="43" t="inlineStr">
        <is>
          <t>BT-08</t>
        </is>
      </c>
      <c r="C8" s="44" t="inlineStr">
        <is>
          <t>Implementación de la lógica de cancelación de inscripciones en el backend con reglas de negocio y actualización automática de cupos</t>
        </is>
      </c>
      <c r="D8" s="50" t="inlineStr">
        <is>
          <t>T-49 — Implementar endpoint DELETE /packages/:id/enroll con lógica de cancelación y restauración del cupo disponible en el paquete</t>
        </is>
      </c>
      <c r="E8" s="51" t="inlineStr">
        <is>
          <t>Juan José</t>
        </is>
      </c>
      <c r="F8" s="51" t="inlineStr">
        <is>
          <t>Alta</t>
        </is>
      </c>
      <c r="G8" s="51" t="inlineStr">
        <is>
          <t>T-47</t>
        </is>
      </c>
      <c r="H8" s="51" t="inlineStr">
        <is>
          <t>Pendiente</t>
        </is>
      </c>
      <c r="I8" s="51" t="n">
        <v>4</v>
      </c>
      <c r="J8" s="52" t="n"/>
      <c r="K8" s="52" t="n">
        <v>4</v>
      </c>
      <c r="L8" s="48" t="n"/>
      <c r="M8" s="52" t="n"/>
      <c r="N8" s="52" t="n"/>
      <c r="O8" s="48" t="n"/>
      <c r="P8" s="52" t="n"/>
      <c r="Q8" s="52" t="n"/>
      <c r="R8" s="48" t="n"/>
      <c r="S8" s="52" t="n"/>
      <c r="T8" s="52" t="n"/>
      <c r="U8" s="48" t="n"/>
      <c r="V8" s="52" t="n"/>
      <c r="W8" s="52" t="n"/>
      <c r="X8" s="48" t="n"/>
      <c r="Y8" s="52" t="n"/>
      <c r="Z8" s="52" t="n"/>
      <c r="AA8" s="48" t="n"/>
      <c r="AB8" s="52" t="n"/>
      <c r="AC8" s="52" t="n"/>
      <c r="AD8" s="48" t="n"/>
      <c r="AE8" s="52" t="n"/>
      <c r="AF8" s="52" t="n"/>
      <c r="AG8" s="48" t="n"/>
      <c r="AH8" s="52" t="n"/>
      <c r="AI8" s="52" t="n"/>
      <c r="AJ8" s="48" t="n"/>
      <c r="AK8" s="52" t="n"/>
      <c r="AL8" s="52" t="n"/>
      <c r="AM8" s="48" t="n"/>
      <c r="AN8" s="52" t="n"/>
      <c r="AO8" s="52" t="n"/>
      <c r="AP8" s="48" t="n"/>
      <c r="AQ8" s="52" t="n"/>
      <c r="AR8" s="52" t="n"/>
      <c r="AS8" s="48" t="n"/>
      <c r="AT8" s="52" t="n"/>
      <c r="AU8" s="52" t="n"/>
      <c r="AV8" s="48" t="n"/>
      <c r="AW8" s="52" t="n"/>
      <c r="AX8" s="52" t="n"/>
      <c r="AY8" s="48" t="n"/>
      <c r="AZ8" s="52" t="n"/>
      <c r="BA8" s="52" t="n"/>
      <c r="BB8" s="48" t="n"/>
      <c r="BC8" s="52" t="n"/>
      <c r="BD8" s="52" t="n"/>
      <c r="BE8" s="48" t="n"/>
      <c r="BF8" s="52" t="n"/>
      <c r="BG8" s="52" t="n"/>
      <c r="BH8" s="48" t="n"/>
      <c r="BI8" s="52" t="n"/>
      <c r="BJ8" s="52" t="n"/>
      <c r="BK8" s="48" t="n"/>
      <c r="BL8" s="52" t="n"/>
      <c r="BM8" s="52" t="n"/>
      <c r="BN8" s="48" t="n"/>
      <c r="BO8" s="52" t="n"/>
      <c r="BP8" s="52" t="n"/>
      <c r="BQ8" s="48" t="n"/>
      <c r="BR8" s="52" t="n"/>
      <c r="BS8" s="52" t="n"/>
      <c r="BT8" s="48" t="n"/>
      <c r="BU8" s="52">
        <f>SUM(J8,M8,P8,S8,V8,Y8,AB8,AE8,AH8,AK8,AN8,AQ8,AT8,AW8,AZ8,BC8,BF8,BI8,BL8,BO8,BR8)</f>
        <v/>
      </c>
      <c r="BV8" s="52">
        <f>BS8</f>
        <v/>
      </c>
    </row>
    <row r="9" ht="30" customHeight="1" s="38">
      <c r="B9" s="43" t="n"/>
      <c r="C9" s="49" t="n"/>
      <c r="D9" s="45" t="inlineStr">
        <is>
          <t>T-50 — Optimizar transacciones en base de datos para garantizar consistencia en operaciones concurrentes de inscripción y cancelación</t>
        </is>
      </c>
      <c r="E9" s="46" t="inlineStr">
        <is>
          <t>Camilo</t>
        </is>
      </c>
      <c r="F9" s="46" t="inlineStr">
        <is>
          <t>Alta</t>
        </is>
      </c>
      <c r="G9" s="46" t="inlineStr">
        <is>
          <t>T-49</t>
        </is>
      </c>
      <c r="H9" s="46" t="inlineStr">
        <is>
          <t>Pendiente</t>
        </is>
      </c>
      <c r="I9" s="46" t="n">
        <v>3</v>
      </c>
      <c r="J9" s="47" t="n"/>
      <c r="K9" s="47" t="n">
        <v>3</v>
      </c>
      <c r="L9" s="48" t="n"/>
      <c r="M9" s="47" t="n"/>
      <c r="N9" s="47" t="n"/>
      <c r="O9" s="48" t="n"/>
      <c r="P9" s="47" t="n"/>
      <c r="Q9" s="47" t="n"/>
      <c r="R9" s="48" t="n"/>
      <c r="S9" s="47" t="n"/>
      <c r="T9" s="47" t="n"/>
      <c r="U9" s="48" t="n"/>
      <c r="V9" s="47" t="n"/>
      <c r="W9" s="47" t="n"/>
      <c r="X9" s="48" t="n"/>
      <c r="Y9" s="47" t="n"/>
      <c r="Z9" s="47" t="n"/>
      <c r="AA9" s="48" t="n"/>
      <c r="AB9" s="47" t="n"/>
      <c r="AC9" s="47" t="n"/>
      <c r="AD9" s="48" t="n"/>
      <c r="AE9" s="47" t="n"/>
      <c r="AF9" s="47" t="n"/>
      <c r="AG9" s="48" t="n"/>
      <c r="AH9" s="47" t="n"/>
      <c r="AI9" s="47" t="n"/>
      <c r="AJ9" s="48" t="n"/>
      <c r="AK9" s="47" t="n"/>
      <c r="AL9" s="47" t="n"/>
      <c r="AM9" s="48" t="n"/>
      <c r="AN9" s="47" t="n"/>
      <c r="AO9" s="47" t="n"/>
      <c r="AP9" s="48" t="n"/>
      <c r="AQ9" s="47" t="n"/>
      <c r="AR9" s="47" t="n"/>
      <c r="AS9" s="48" t="n"/>
      <c r="AT9" s="47" t="n"/>
      <c r="AU9" s="47" t="n"/>
      <c r="AV9" s="48" t="n"/>
      <c r="AW9" s="47" t="n"/>
      <c r="AX9" s="47" t="n"/>
      <c r="AY9" s="48" t="n"/>
      <c r="AZ9" s="47" t="n"/>
      <c r="BA9" s="47" t="n"/>
      <c r="BB9" s="48" t="n"/>
      <c r="BC9" s="47" t="n"/>
      <c r="BD9" s="47" t="n"/>
      <c r="BE9" s="48" t="n"/>
      <c r="BF9" s="47" t="n"/>
      <c r="BG9" s="47" t="n"/>
      <c r="BH9" s="48" t="n"/>
      <c r="BI9" s="47" t="n"/>
      <c r="BJ9" s="47" t="n"/>
      <c r="BK9" s="48" t="n"/>
      <c r="BL9" s="47" t="n"/>
      <c r="BM9" s="47" t="n"/>
      <c r="BN9" s="48" t="n"/>
      <c r="BO9" s="47" t="n"/>
      <c r="BP9" s="47" t="n"/>
      <c r="BQ9" s="48" t="n"/>
      <c r="BR9" s="47" t="n"/>
      <c r="BS9" s="47" t="n"/>
      <c r="BT9" s="48" t="n"/>
      <c r="BU9" s="47">
        <f>SUM(J9,M9,P9,S9,V9,Y9,AB9,AE9,AH9,AK9,AN9,AQ9,AT9,AW9,AZ9,BC9,BF9,BI9,BL9,BO9,BR9)</f>
        <v/>
      </c>
      <c r="BV9" s="47">
        <f>BS9</f>
        <v/>
      </c>
    </row>
    <row r="10" ht="30" customHeight="1" s="38">
      <c r="B10" s="43" t="inlineStr">
        <is>
          <t>BT-09</t>
        </is>
      </c>
      <c r="C10" s="44" t="inlineStr">
        <is>
          <t>Desarrollo de pantallas frontend en React Native: flujo de inscripción a paquete y pantalla de cancelación integradas con el backend</t>
        </is>
      </c>
      <c r="D10" s="50" t="inlineStr">
        <is>
          <t>T-51 — Desarrollar pantalla de Inscripción en React Native con botón "Unirse al paquete", indicador de cupos disponibles y feedback visual de éxito/error</t>
        </is>
      </c>
      <c r="E10" s="51" t="inlineStr">
        <is>
          <t>Camilo</t>
        </is>
      </c>
      <c r="F10" s="51" t="inlineStr">
        <is>
          <t>Alta</t>
        </is>
      </c>
      <c r="G10" s="51" t="inlineStr">
        <is>
          <t>T-48</t>
        </is>
      </c>
      <c r="H10" s="51" t="inlineStr">
        <is>
          <t>Pendiente</t>
        </is>
      </c>
      <c r="I10" s="51" t="n">
        <v>6</v>
      </c>
      <c r="J10" s="52" t="n"/>
      <c r="K10" s="52" t="n">
        <v>6</v>
      </c>
      <c r="L10" s="48" t="n"/>
      <c r="M10" s="52" t="n"/>
      <c r="N10" s="52" t="n"/>
      <c r="O10" s="48" t="n"/>
      <c r="P10" s="52" t="n"/>
      <c r="Q10" s="52" t="n"/>
      <c r="R10" s="48" t="n"/>
      <c r="S10" s="52" t="n"/>
      <c r="T10" s="52" t="n"/>
      <c r="U10" s="48" t="n"/>
      <c r="V10" s="52" t="n"/>
      <c r="W10" s="52" t="n"/>
      <c r="X10" s="48" t="n"/>
      <c r="Y10" s="52" t="n"/>
      <c r="Z10" s="52" t="n"/>
      <c r="AA10" s="48" t="n"/>
      <c r="AB10" s="52" t="n"/>
      <c r="AC10" s="52" t="n"/>
      <c r="AD10" s="48" t="n"/>
      <c r="AE10" s="52" t="n"/>
      <c r="AF10" s="52" t="n"/>
      <c r="AG10" s="48" t="n"/>
      <c r="AH10" s="52" t="n"/>
      <c r="AI10" s="52" t="n"/>
      <c r="AJ10" s="48" t="n"/>
      <c r="AK10" s="52" t="n"/>
      <c r="AL10" s="52" t="n"/>
      <c r="AM10" s="48" t="n"/>
      <c r="AN10" s="52" t="n"/>
      <c r="AO10" s="52" t="n"/>
      <c r="AP10" s="48" t="n"/>
      <c r="AQ10" s="52" t="n"/>
      <c r="AR10" s="52" t="n"/>
      <c r="AS10" s="48" t="n"/>
      <c r="AT10" s="52" t="n"/>
      <c r="AU10" s="52" t="n"/>
      <c r="AV10" s="48" t="n"/>
      <c r="AW10" s="52" t="n"/>
      <c r="AX10" s="52" t="n"/>
      <c r="AY10" s="48" t="n"/>
      <c r="AZ10" s="52" t="n"/>
      <c r="BA10" s="52" t="n"/>
      <c r="BB10" s="48" t="n"/>
      <c r="BC10" s="52" t="n"/>
      <c r="BD10" s="52" t="n"/>
      <c r="BE10" s="48" t="n"/>
      <c r="BF10" s="52" t="n"/>
      <c r="BG10" s="52" t="n"/>
      <c r="BH10" s="48" t="n"/>
      <c r="BI10" s="52" t="n"/>
      <c r="BJ10" s="52" t="n"/>
      <c r="BK10" s="48" t="n"/>
      <c r="BL10" s="52" t="n"/>
      <c r="BM10" s="52" t="n"/>
      <c r="BN10" s="48" t="n"/>
      <c r="BO10" s="52" t="n"/>
      <c r="BP10" s="52" t="n"/>
      <c r="BQ10" s="48" t="n"/>
      <c r="BR10" s="52" t="n"/>
      <c r="BS10" s="52" t="n"/>
      <c r="BT10" s="48" t="n"/>
      <c r="BU10" s="52">
        <f>SUM(J10,M10,P10,S10,V10,Y10,AB10,AE10,AH10,AK10,AN10,AQ10,AT10,AW10,AZ10,BC10,BF10,BI10,BL10,BO10,BR10)</f>
        <v/>
      </c>
      <c r="BV10" s="52">
        <f>BS10</f>
        <v/>
      </c>
    </row>
    <row r="11" ht="30" customHeight="1" s="38">
      <c r="B11" s="43" t="n"/>
      <c r="C11" s="49" t="n"/>
      <c r="D11" s="45" t="inlineStr">
        <is>
          <t>T-52 — Desarrollar pantalla de Cancelación en React Native con modal de confirmación e integración al endpoint DELETE /packages/:id/enroll</t>
        </is>
      </c>
      <c r="E11" s="46" t="inlineStr">
        <is>
          <t>Camilo</t>
        </is>
      </c>
      <c r="F11" s="46" t="inlineStr">
        <is>
          <t>Alta</t>
        </is>
      </c>
      <c r="G11" s="46" t="inlineStr">
        <is>
          <t>T-51</t>
        </is>
      </c>
      <c r="H11" s="46" t="inlineStr">
        <is>
          <t>Pendiente</t>
        </is>
      </c>
      <c r="I11" s="46" t="n">
        <v>4</v>
      </c>
      <c r="J11" s="47" t="n"/>
      <c r="K11" s="47" t="n">
        <v>4</v>
      </c>
      <c r="L11" s="48" t="n"/>
      <c r="M11" s="47" t="n"/>
      <c r="N11" s="47" t="n"/>
      <c r="O11" s="48" t="n"/>
      <c r="P11" s="47" t="n"/>
      <c r="Q11" s="47" t="n"/>
      <c r="R11" s="48" t="n"/>
      <c r="S11" s="47" t="n"/>
      <c r="T11" s="47" t="n"/>
      <c r="U11" s="48" t="n"/>
      <c r="V11" s="47" t="n"/>
      <c r="W11" s="47" t="n"/>
      <c r="X11" s="48" t="n"/>
      <c r="Y11" s="47" t="n"/>
      <c r="Z11" s="47" t="n"/>
      <c r="AA11" s="48" t="n"/>
      <c r="AB11" s="47" t="n"/>
      <c r="AC11" s="47" t="n"/>
      <c r="AD11" s="48" t="n"/>
      <c r="AE11" s="47" t="n"/>
      <c r="AF11" s="47" t="n"/>
      <c r="AG11" s="48" t="n"/>
      <c r="AH11" s="47" t="n"/>
      <c r="AI11" s="47" t="n"/>
      <c r="AJ11" s="48" t="n"/>
      <c r="AK11" s="47" t="n"/>
      <c r="AL11" s="47" t="n"/>
      <c r="AM11" s="48" t="n"/>
      <c r="AN11" s="47" t="n"/>
      <c r="AO11" s="47" t="n"/>
      <c r="AP11" s="48" t="n"/>
      <c r="AQ11" s="47" t="n"/>
      <c r="AR11" s="47" t="n"/>
      <c r="AS11" s="48" t="n"/>
      <c r="AT11" s="47" t="n"/>
      <c r="AU11" s="47" t="n"/>
      <c r="AV11" s="48" t="n"/>
      <c r="AW11" s="47" t="n"/>
      <c r="AX11" s="47" t="n"/>
      <c r="AY11" s="48" t="n"/>
      <c r="AZ11" s="47" t="n"/>
      <c r="BA11" s="47" t="n"/>
      <c r="BB11" s="48" t="n"/>
      <c r="BC11" s="47" t="n"/>
      <c r="BD11" s="47" t="n"/>
      <c r="BE11" s="48" t="n"/>
      <c r="BF11" s="47" t="n"/>
      <c r="BG11" s="47" t="n"/>
      <c r="BH11" s="48" t="n"/>
      <c r="BI11" s="47" t="n"/>
      <c r="BJ11" s="47" t="n"/>
      <c r="BK11" s="48" t="n"/>
      <c r="BL11" s="47" t="n"/>
      <c r="BM11" s="47" t="n"/>
      <c r="BN11" s="48" t="n"/>
      <c r="BO11" s="47" t="n"/>
      <c r="BP11" s="47" t="n"/>
      <c r="BQ11" s="48" t="n"/>
      <c r="BR11" s="47" t="n"/>
      <c r="BS11" s="47" t="n"/>
      <c r="BT11" s="48" t="n"/>
      <c r="BU11" s="47">
        <f>SUM(J11,M11,P11,S11,V11,Y11,AB11,AE11,AH11,AK11,AN11,AQ11,AT11,AW11,AZ11,BC11,BF11,BI11,BL11,BO11,BR11)</f>
        <v/>
      </c>
      <c r="BV11" s="47">
        <f>BS11</f>
        <v/>
      </c>
    </row>
    <row r="12" ht="30" customHeight="1" s="38">
      <c r="B12" s="53" t="inlineStr">
        <is>
          <t>HU-11</t>
        </is>
      </c>
      <c r="C12" s="54" t="inlineStr">
        <is>
          <t>Como usuario, quiero inscribirme a un paquete de viaje disponible para participar en él junto a otros viajeros</t>
        </is>
      </c>
      <c r="D12" s="50" t="inlineStr">
        <is>
          <t>T-53 — Backend — Implementar lógica completa de inscripción con validación de cupos, estado del paquete y restricción de inscripciones duplicadas en PostgreSQL</t>
        </is>
      </c>
      <c r="E12" s="51" t="inlineStr">
        <is>
          <t>Camilo</t>
        </is>
      </c>
      <c r="F12" s="51" t="inlineStr">
        <is>
          <t>Alta</t>
        </is>
      </c>
      <c r="G12" s="51" t="inlineStr">
        <is>
          <t>T-50</t>
        </is>
      </c>
      <c r="H12" s="51" t="inlineStr">
        <is>
          <t>Pendiente</t>
        </is>
      </c>
      <c r="I12" s="51" t="n">
        <v>5</v>
      </c>
      <c r="J12" s="52" t="n"/>
      <c r="K12" s="52" t="n">
        <v>5</v>
      </c>
      <c r="L12" s="48" t="n"/>
      <c r="M12" s="52" t="n"/>
      <c r="N12" s="52" t="n"/>
      <c r="O12" s="48" t="n"/>
      <c r="P12" s="52" t="n"/>
      <c r="Q12" s="52" t="n"/>
      <c r="R12" s="48" t="n"/>
      <c r="S12" s="52" t="n"/>
      <c r="T12" s="52" t="n"/>
      <c r="U12" s="48" t="n"/>
      <c r="V12" s="52" t="n"/>
      <c r="W12" s="52" t="n"/>
      <c r="X12" s="48" t="n"/>
      <c r="Y12" s="52" t="n"/>
      <c r="Z12" s="52" t="n"/>
      <c r="AA12" s="48" t="n"/>
      <c r="AB12" s="52" t="n"/>
      <c r="AC12" s="52" t="n"/>
      <c r="AD12" s="48" t="n"/>
      <c r="AE12" s="52" t="n"/>
      <c r="AF12" s="52" t="n"/>
      <c r="AG12" s="48" t="n"/>
      <c r="AH12" s="52" t="n"/>
      <c r="AI12" s="52" t="n"/>
      <c r="AJ12" s="48" t="n"/>
      <c r="AK12" s="52" t="n"/>
      <c r="AL12" s="52" t="n"/>
      <c r="AM12" s="48" t="n"/>
      <c r="AN12" s="52" t="n"/>
      <c r="AO12" s="52" t="n"/>
      <c r="AP12" s="48" t="n"/>
      <c r="AQ12" s="52" t="n"/>
      <c r="AR12" s="52" t="n"/>
      <c r="AS12" s="48" t="n"/>
      <c r="AT12" s="52" t="n"/>
      <c r="AU12" s="52" t="n"/>
      <c r="AV12" s="48" t="n"/>
      <c r="AW12" s="52" t="n"/>
      <c r="AX12" s="52" t="n"/>
      <c r="AY12" s="48" t="n"/>
      <c r="AZ12" s="52" t="n"/>
      <c r="BA12" s="52" t="n"/>
      <c r="BB12" s="48" t="n"/>
      <c r="BC12" s="52" t="n"/>
      <c r="BD12" s="52" t="n"/>
      <c r="BE12" s="48" t="n"/>
      <c r="BF12" s="52" t="n"/>
      <c r="BG12" s="52" t="n"/>
      <c r="BH12" s="48" t="n"/>
      <c r="BI12" s="52" t="n"/>
      <c r="BJ12" s="52" t="n"/>
      <c r="BK12" s="48" t="n"/>
      <c r="BL12" s="52" t="n"/>
      <c r="BM12" s="52" t="n"/>
      <c r="BN12" s="48" t="n"/>
      <c r="BO12" s="52" t="n"/>
      <c r="BP12" s="52" t="n"/>
      <c r="BQ12" s="48" t="n"/>
      <c r="BR12" s="52" t="n"/>
      <c r="BS12" s="52" t="n"/>
      <c r="BT12" s="48" t="n"/>
      <c r="BU12" s="52">
        <f>SUM(J12,M12,P12,S12,V12,Y12,AB12,AE12,AH12,AK12,AN12,AQ12,AT12,AW12,AZ12,BC12,BF12,BI12,BL12,BO12,BR12)</f>
        <v/>
      </c>
      <c r="BV12" s="52">
        <f>BS12</f>
        <v/>
      </c>
    </row>
    <row r="13" ht="30" customHeight="1" s="38">
      <c r="B13" s="53" t="n"/>
      <c r="C13" s="45" t="n"/>
      <c r="D13" s="45" t="inlineStr">
        <is>
          <t>T-54 — Frontend — Integrar el flujo de inscripción en React Native: llamada al endpoint, actualización de la vista de detalle del paquete y notificación de éxito o error</t>
        </is>
      </c>
      <c r="E13" s="46" t="inlineStr">
        <is>
          <t>Camilo</t>
        </is>
      </c>
      <c r="F13" s="46" t="inlineStr">
        <is>
          <t>Alta</t>
        </is>
      </c>
      <c r="G13" s="46" t="inlineStr">
        <is>
          <t>T-53</t>
        </is>
      </c>
      <c r="H13" s="46" t="inlineStr">
        <is>
          <t>Pendiente</t>
        </is>
      </c>
      <c r="I13" s="46" t="n">
        <v>4</v>
      </c>
      <c r="J13" s="47" t="n"/>
      <c r="K13" s="47" t="n">
        <v>4</v>
      </c>
      <c r="L13" s="48" t="n"/>
      <c r="M13" s="47" t="n"/>
      <c r="N13" s="47" t="n"/>
      <c r="O13" s="48" t="n"/>
      <c r="P13" s="47" t="n"/>
      <c r="Q13" s="47" t="n"/>
      <c r="R13" s="48" t="n"/>
      <c r="S13" s="47" t="n"/>
      <c r="T13" s="47" t="n"/>
      <c r="U13" s="48" t="n"/>
      <c r="V13" s="47" t="n"/>
      <c r="W13" s="47" t="n"/>
      <c r="X13" s="48" t="n"/>
      <c r="Y13" s="47" t="n"/>
      <c r="Z13" s="47" t="n"/>
      <c r="AA13" s="48" t="n"/>
      <c r="AB13" s="47" t="n"/>
      <c r="AC13" s="47" t="n"/>
      <c r="AD13" s="48" t="n"/>
      <c r="AE13" s="47" t="n"/>
      <c r="AF13" s="47" t="n"/>
      <c r="AG13" s="48" t="n"/>
      <c r="AH13" s="47" t="n"/>
      <c r="AI13" s="47" t="n"/>
      <c r="AJ13" s="48" t="n"/>
      <c r="AK13" s="47" t="n"/>
      <c r="AL13" s="47" t="n"/>
      <c r="AM13" s="48" t="n"/>
      <c r="AN13" s="47" t="n"/>
      <c r="AO13" s="47" t="n"/>
      <c r="AP13" s="48" t="n"/>
      <c r="AQ13" s="47" t="n"/>
      <c r="AR13" s="47" t="n"/>
      <c r="AS13" s="48" t="n"/>
      <c r="AT13" s="47" t="n"/>
      <c r="AU13" s="47" t="n"/>
      <c r="AV13" s="48" t="n"/>
      <c r="AW13" s="47" t="n"/>
      <c r="AX13" s="47" t="n"/>
      <c r="AY13" s="48" t="n"/>
      <c r="AZ13" s="47" t="n"/>
      <c r="BA13" s="47" t="n"/>
      <c r="BB13" s="48" t="n"/>
      <c r="BC13" s="47" t="n"/>
      <c r="BD13" s="47" t="n"/>
      <c r="BE13" s="48" t="n"/>
      <c r="BF13" s="47" t="n"/>
      <c r="BG13" s="47" t="n"/>
      <c r="BH13" s="48" t="n"/>
      <c r="BI13" s="47" t="n"/>
      <c r="BJ13" s="47" t="n"/>
      <c r="BK13" s="48" t="n"/>
      <c r="BL13" s="47" t="n"/>
      <c r="BM13" s="47" t="n"/>
      <c r="BN13" s="48" t="n"/>
      <c r="BO13" s="47" t="n"/>
      <c r="BP13" s="47" t="n"/>
      <c r="BQ13" s="48" t="n"/>
      <c r="BR13" s="47" t="n"/>
      <c r="BS13" s="47" t="n"/>
      <c r="BT13" s="48" t="n"/>
      <c r="BU13" s="47">
        <f>SUM(J13,M13,P13,S13,V13,Y13,AB13,AE13,AH13,AK13,AN13,AQ13,AT13,AW13,AZ13,BC13,BF13,BI13,BL13,BO13,BR13)</f>
        <v/>
      </c>
      <c r="BV13" s="47">
        <f>BS13</f>
        <v/>
      </c>
    </row>
    <row r="14" ht="30" customHeight="1" s="38">
      <c r="B14" s="53" t="n"/>
      <c r="C14" s="45" t="n"/>
      <c r="D14" s="50" t="inlineStr">
        <is>
          <t>T-55 — Pruebas unitarias y de integración del flujo de inscripción: cupos agotados, usuario ya inscrito e inscripción exitosa</t>
        </is>
      </c>
      <c r="E14" s="51" t="inlineStr">
        <is>
          <t>Diego</t>
        </is>
      </c>
      <c r="F14" s="51" t="inlineStr">
        <is>
          <t>Alta</t>
        </is>
      </c>
      <c r="G14" s="51" t="inlineStr">
        <is>
          <t>T-54</t>
        </is>
      </c>
      <c r="H14" s="51" t="inlineStr">
        <is>
          <t>Pendiente</t>
        </is>
      </c>
      <c r="I14" s="51" t="n">
        <v>3</v>
      </c>
      <c r="J14" s="52" t="n"/>
      <c r="K14" s="52" t="n">
        <v>3</v>
      </c>
      <c r="L14" s="48" t="n"/>
      <c r="M14" s="52" t="n"/>
      <c r="N14" s="52" t="n"/>
      <c r="O14" s="48" t="n"/>
      <c r="P14" s="52" t="n"/>
      <c r="Q14" s="52" t="n"/>
      <c r="R14" s="48" t="n"/>
      <c r="S14" s="52" t="n"/>
      <c r="T14" s="52" t="n"/>
      <c r="U14" s="48" t="n"/>
      <c r="V14" s="52" t="n"/>
      <c r="W14" s="52" t="n"/>
      <c r="X14" s="48" t="n"/>
      <c r="Y14" s="52" t="n"/>
      <c r="Z14" s="52" t="n"/>
      <c r="AA14" s="48" t="n"/>
      <c r="AB14" s="52" t="n"/>
      <c r="AC14" s="52" t="n"/>
      <c r="AD14" s="48" t="n"/>
      <c r="AE14" s="52" t="n"/>
      <c r="AF14" s="52" t="n"/>
      <c r="AG14" s="48" t="n"/>
      <c r="AH14" s="52" t="n"/>
      <c r="AI14" s="52" t="n"/>
      <c r="AJ14" s="48" t="n"/>
      <c r="AK14" s="52" t="n"/>
      <c r="AL14" s="52" t="n"/>
      <c r="AM14" s="48" t="n"/>
      <c r="AN14" s="52" t="n"/>
      <c r="AO14" s="52" t="n"/>
      <c r="AP14" s="48" t="n"/>
      <c r="AQ14" s="52" t="n"/>
      <c r="AR14" s="52" t="n"/>
      <c r="AS14" s="48" t="n"/>
      <c r="AT14" s="52" t="n"/>
      <c r="AU14" s="52" t="n"/>
      <c r="AV14" s="48" t="n"/>
      <c r="AW14" s="52" t="n"/>
      <c r="AX14" s="52" t="n"/>
      <c r="AY14" s="48" t="n"/>
      <c r="AZ14" s="52" t="n"/>
      <c r="BA14" s="52" t="n"/>
      <c r="BB14" s="48" t="n"/>
      <c r="BC14" s="52" t="n"/>
      <c r="BD14" s="52" t="n"/>
      <c r="BE14" s="48" t="n"/>
      <c r="BF14" s="52" t="n"/>
      <c r="BG14" s="52" t="n"/>
      <c r="BH14" s="48" t="n"/>
      <c r="BI14" s="52" t="n"/>
      <c r="BJ14" s="52" t="n"/>
      <c r="BK14" s="48" t="n"/>
      <c r="BL14" s="52" t="n"/>
      <c r="BM14" s="52" t="n"/>
      <c r="BN14" s="48" t="n"/>
      <c r="BO14" s="52" t="n"/>
      <c r="BP14" s="52" t="n"/>
      <c r="BQ14" s="48" t="n"/>
      <c r="BR14" s="52" t="n"/>
      <c r="BS14" s="52" t="n"/>
      <c r="BT14" s="48" t="n"/>
      <c r="BU14" s="52">
        <f>SUM(J14,M14,P14,S14,V14,Y14,AB14,AE14,AH14,AK14,AN14,AQ14,AT14,AW14,AZ14,BC14,BF14,BI14,BL14,BO14,BR14)</f>
        <v/>
      </c>
      <c r="BV14" s="52">
        <f>BS14</f>
        <v/>
      </c>
    </row>
    <row r="15" ht="30" customHeight="1" s="38">
      <c r="B15" s="53" t="inlineStr">
        <is>
          <t>HU-12</t>
        </is>
      </c>
      <c r="C15" s="54" t="inlineStr">
        <is>
          <t>Como usuario inscrito, quiero cancelar mi inscripción a un paquete de viaje para liberar mi cupo si ya no puedo asistir</t>
        </is>
      </c>
      <c r="D15" s="45" t="inlineStr">
        <is>
          <t>T-56 — Backend — Implementar lógica de cancelación con actualización del estado de la inscripción y restauración del cupo disponible en el paquete</t>
        </is>
      </c>
      <c r="E15" s="46" t="inlineStr">
        <is>
          <t>Juan José</t>
        </is>
      </c>
      <c r="F15" s="46" t="inlineStr">
        <is>
          <t>Alta</t>
        </is>
      </c>
      <c r="G15" s="46" t="inlineStr">
        <is>
          <t>T-50</t>
        </is>
      </c>
      <c r="H15" s="46" t="inlineStr">
        <is>
          <t>Pendiente</t>
        </is>
      </c>
      <c r="I15" s="46" t="n">
        <v>5</v>
      </c>
      <c r="J15" s="47" t="n"/>
      <c r="K15" s="47" t="n">
        <v>5</v>
      </c>
      <c r="L15" s="48" t="n"/>
      <c r="M15" s="47" t="n"/>
      <c r="N15" s="47" t="n"/>
      <c r="O15" s="48" t="n"/>
      <c r="P15" s="47" t="n"/>
      <c r="Q15" s="47" t="n"/>
      <c r="R15" s="48" t="n"/>
      <c r="S15" s="47" t="n"/>
      <c r="T15" s="47" t="n"/>
      <c r="U15" s="48" t="n"/>
      <c r="V15" s="47" t="n"/>
      <c r="W15" s="47" t="n"/>
      <c r="X15" s="48" t="n"/>
      <c r="Y15" s="47" t="n"/>
      <c r="Z15" s="47" t="n"/>
      <c r="AA15" s="48" t="n"/>
      <c r="AB15" s="47" t="n"/>
      <c r="AC15" s="47" t="n"/>
      <c r="AD15" s="48" t="n"/>
      <c r="AE15" s="47" t="n"/>
      <c r="AF15" s="47" t="n"/>
      <c r="AG15" s="48" t="n"/>
      <c r="AH15" s="47" t="n"/>
      <c r="AI15" s="47" t="n"/>
      <c r="AJ15" s="48" t="n"/>
      <c r="AK15" s="47" t="n"/>
      <c r="AL15" s="47" t="n"/>
      <c r="AM15" s="48" t="n"/>
      <c r="AN15" s="47" t="n"/>
      <c r="AO15" s="47" t="n"/>
      <c r="AP15" s="48" t="n"/>
      <c r="AQ15" s="47" t="n"/>
      <c r="AR15" s="47" t="n"/>
      <c r="AS15" s="48" t="n"/>
      <c r="AT15" s="47" t="n"/>
      <c r="AU15" s="47" t="n"/>
      <c r="AV15" s="48" t="n"/>
      <c r="AW15" s="47" t="n"/>
      <c r="AX15" s="47" t="n"/>
      <c r="AY15" s="48" t="n"/>
      <c r="AZ15" s="47" t="n"/>
      <c r="BA15" s="47" t="n"/>
      <c r="BB15" s="48" t="n"/>
      <c r="BC15" s="47" t="n"/>
      <c r="BD15" s="47" t="n"/>
      <c r="BE15" s="48" t="n"/>
      <c r="BF15" s="47" t="n"/>
      <c r="BG15" s="47" t="n"/>
      <c r="BH15" s="48" t="n"/>
      <c r="BI15" s="47" t="n"/>
      <c r="BJ15" s="47" t="n"/>
      <c r="BK15" s="48" t="n"/>
      <c r="BL15" s="47" t="n"/>
      <c r="BM15" s="47" t="n"/>
      <c r="BN15" s="48" t="n"/>
      <c r="BO15" s="47" t="n"/>
      <c r="BP15" s="47" t="n"/>
      <c r="BQ15" s="48" t="n"/>
      <c r="BR15" s="47" t="n"/>
      <c r="BS15" s="47" t="n"/>
      <c r="BT15" s="48" t="n"/>
      <c r="BU15" s="47">
        <f>SUM(J15,M15,P15,S15,V15,Y15,AB15,AE15,AH15,AK15,AN15,AQ15,AT15,AW15,AZ15,BC15,BF15,BI15,BL15,BO15,BR15)</f>
        <v/>
      </c>
      <c r="BV15" s="47">
        <f>BS15</f>
        <v/>
      </c>
    </row>
    <row r="16" ht="30" customHeight="1" s="38">
      <c r="B16" s="53" t="n"/>
      <c r="C16" s="45" t="n"/>
      <c r="D16" s="50" t="inlineStr">
        <is>
          <t>T-57 — Frontend — Desarrollar pantalla de cancelación en React Native con modal de confirmación y actualización del estado visual del botón de inscripción</t>
        </is>
      </c>
      <c r="E16" s="51" t="inlineStr">
        <is>
          <t>Camilo</t>
        </is>
      </c>
      <c r="F16" s="51" t="inlineStr">
        <is>
          <t>Alta</t>
        </is>
      </c>
      <c r="G16" s="51" t="inlineStr">
        <is>
          <t>T-56</t>
        </is>
      </c>
      <c r="H16" s="51" t="inlineStr">
        <is>
          <t>Pendiente</t>
        </is>
      </c>
      <c r="I16" s="51" t="n">
        <v>4</v>
      </c>
      <c r="J16" s="52" t="n"/>
      <c r="K16" s="52" t="n">
        <v>4</v>
      </c>
      <c r="L16" s="48" t="n"/>
      <c r="M16" s="52" t="n"/>
      <c r="N16" s="52" t="n"/>
      <c r="O16" s="48" t="n"/>
      <c r="P16" s="52" t="n"/>
      <c r="Q16" s="52" t="n"/>
      <c r="R16" s="48" t="n"/>
      <c r="S16" s="52" t="n"/>
      <c r="T16" s="52" t="n"/>
      <c r="U16" s="48" t="n"/>
      <c r="V16" s="52" t="n"/>
      <c r="W16" s="52" t="n"/>
      <c r="X16" s="48" t="n"/>
      <c r="Y16" s="52" t="n"/>
      <c r="Z16" s="52" t="n"/>
      <c r="AA16" s="48" t="n"/>
      <c r="AB16" s="52" t="n"/>
      <c r="AC16" s="52" t="n"/>
      <c r="AD16" s="48" t="n"/>
      <c r="AE16" s="52" t="n"/>
      <c r="AF16" s="52" t="n"/>
      <c r="AG16" s="48" t="n"/>
      <c r="AH16" s="52" t="n"/>
      <c r="AI16" s="52" t="n"/>
      <c r="AJ16" s="48" t="n"/>
      <c r="AK16" s="52" t="n"/>
      <c r="AL16" s="52" t="n"/>
      <c r="AM16" s="48" t="n"/>
      <c r="AN16" s="52" t="n"/>
      <c r="AO16" s="52" t="n"/>
      <c r="AP16" s="48" t="n"/>
      <c r="AQ16" s="52" t="n"/>
      <c r="AR16" s="52" t="n"/>
      <c r="AS16" s="48" t="n"/>
      <c r="AT16" s="52" t="n"/>
      <c r="AU16" s="52" t="n"/>
      <c r="AV16" s="48" t="n"/>
      <c r="AW16" s="52" t="n"/>
      <c r="AX16" s="52" t="n"/>
      <c r="AY16" s="48" t="n"/>
      <c r="AZ16" s="52" t="n"/>
      <c r="BA16" s="52" t="n"/>
      <c r="BB16" s="48" t="n"/>
      <c r="BC16" s="52" t="n"/>
      <c r="BD16" s="52" t="n"/>
      <c r="BE16" s="48" t="n"/>
      <c r="BF16" s="52" t="n"/>
      <c r="BG16" s="52" t="n"/>
      <c r="BH16" s="48" t="n"/>
      <c r="BI16" s="52" t="n"/>
      <c r="BJ16" s="52" t="n"/>
      <c r="BK16" s="48" t="n"/>
      <c r="BL16" s="52" t="n"/>
      <c r="BM16" s="52" t="n"/>
      <c r="BN16" s="48" t="n"/>
      <c r="BO16" s="52" t="n"/>
      <c r="BP16" s="52" t="n"/>
      <c r="BQ16" s="48" t="n"/>
      <c r="BR16" s="52" t="n"/>
      <c r="BS16" s="52" t="n"/>
      <c r="BT16" s="48" t="n"/>
      <c r="BU16" s="52">
        <f>SUM(J16,M16,P16,S16,V16,Y16,AB16,AE16,AH16,AK16,AN16,AQ16,AT16,AW16,AZ16,BC16,BF16,BI16,BL16,BO16,BR16)</f>
        <v/>
      </c>
      <c r="BV16" s="52">
        <f>BS16</f>
        <v/>
      </c>
    </row>
    <row r="17" ht="30" customHeight="1" s="38">
      <c r="B17" s="53" t="n"/>
      <c r="C17" s="45" t="n"/>
      <c r="D17" s="45" t="inlineStr">
        <is>
          <t>T-58 — Pruebas unitarias y de integración del flujo de cancelación: cancelación exitosa, intento sin inscripción previa y validación de permisos de usuario</t>
        </is>
      </c>
      <c r="E17" s="46" t="inlineStr">
        <is>
          <t>Diego</t>
        </is>
      </c>
      <c r="F17" s="46" t="inlineStr">
        <is>
          <t>Alta</t>
        </is>
      </c>
      <c r="G17" s="46" t="inlineStr">
        <is>
          <t>T-57</t>
        </is>
      </c>
      <c r="H17" s="46" t="inlineStr">
        <is>
          <t>Pendiente</t>
        </is>
      </c>
      <c r="I17" s="46" t="n">
        <v>3</v>
      </c>
      <c r="J17" s="47" t="n"/>
      <c r="K17" s="47" t="n">
        <v>3</v>
      </c>
      <c r="L17" s="48" t="n"/>
      <c r="M17" s="47" t="n"/>
      <c r="N17" s="47" t="n"/>
      <c r="O17" s="48" t="n"/>
      <c r="P17" s="47" t="n"/>
      <c r="Q17" s="47" t="n"/>
      <c r="R17" s="48" t="n"/>
      <c r="S17" s="47" t="n"/>
      <c r="T17" s="47" t="n"/>
      <c r="U17" s="48" t="n"/>
      <c r="V17" s="47" t="n"/>
      <c r="W17" s="47" t="n"/>
      <c r="X17" s="48" t="n"/>
      <c r="Y17" s="47" t="n"/>
      <c r="Z17" s="47" t="n"/>
      <c r="AA17" s="48" t="n"/>
      <c r="AB17" s="47" t="n"/>
      <c r="AC17" s="47" t="n"/>
      <c r="AD17" s="48" t="n"/>
      <c r="AE17" s="47" t="n"/>
      <c r="AF17" s="47" t="n"/>
      <c r="AG17" s="48" t="n"/>
      <c r="AH17" s="47" t="n"/>
      <c r="AI17" s="47" t="n"/>
      <c r="AJ17" s="48" t="n"/>
      <c r="AK17" s="47" t="n"/>
      <c r="AL17" s="47" t="n"/>
      <c r="AM17" s="48" t="n"/>
      <c r="AN17" s="47" t="n"/>
      <c r="AO17" s="47" t="n"/>
      <c r="AP17" s="48" t="n"/>
      <c r="AQ17" s="47" t="n"/>
      <c r="AR17" s="47" t="n"/>
      <c r="AS17" s="48" t="n"/>
      <c r="AT17" s="47" t="n"/>
      <c r="AU17" s="47" t="n"/>
      <c r="AV17" s="48" t="n"/>
      <c r="AW17" s="47" t="n"/>
      <c r="AX17" s="47" t="n"/>
      <c r="AY17" s="48" t="n"/>
      <c r="AZ17" s="47" t="n"/>
      <c r="BA17" s="47" t="n"/>
      <c r="BB17" s="48" t="n"/>
      <c r="BC17" s="47" t="n"/>
      <c r="BD17" s="47" t="n"/>
      <c r="BE17" s="48" t="n"/>
      <c r="BF17" s="47" t="n"/>
      <c r="BG17" s="47" t="n"/>
      <c r="BH17" s="48" t="n"/>
      <c r="BI17" s="47" t="n"/>
      <c r="BJ17" s="47" t="n"/>
      <c r="BK17" s="48" t="n"/>
      <c r="BL17" s="47" t="n"/>
      <c r="BM17" s="47" t="n"/>
      <c r="BN17" s="48" t="n"/>
      <c r="BO17" s="47" t="n"/>
      <c r="BP17" s="47" t="n"/>
      <c r="BQ17" s="48" t="n"/>
      <c r="BR17" s="47" t="n"/>
      <c r="BS17" s="47" t="n"/>
      <c r="BT17" s="48" t="n"/>
      <c r="BU17" s="47">
        <f>SUM(J17,M17,P17,S17,V17,Y17,AB17,AE17,AH17,AK17,AN17,AQ17,AT17,AW17,AZ17,BC17,BF17,BI17,BL17,BO17,BR17)</f>
        <v/>
      </c>
      <c r="BV17" s="47">
        <f>BS17</f>
        <v/>
      </c>
    </row>
    <row r="18" ht="15.75" customHeight="1" s="38">
      <c r="B18" s="55" t="inlineStr">
        <is>
          <t>TOTAL</t>
        </is>
      </c>
      <c r="C18" s="56" t="n"/>
      <c r="D18" s="57" t="inlineStr">
        <is>
          <t>TOTAL HORAS ESTIMADAS DEL SPRINT</t>
        </is>
      </c>
      <c r="E18" s="58" t="n"/>
      <c r="F18" s="58" t="n"/>
      <c r="G18" s="58" t="n"/>
      <c r="H18" s="56" t="n"/>
      <c r="I18" s="59">
        <f>SUM(I5:I17)</f>
        <v/>
      </c>
      <c r="J18" s="60">
        <f>SUM(J5:J17)</f>
        <v/>
      </c>
      <c r="K18" s="60">
        <f>SUM(K5:K17)</f>
        <v/>
      </c>
      <c r="L18" s="48" t="n"/>
      <c r="M18" s="60">
        <f>SUM(M5:M17)</f>
        <v/>
      </c>
      <c r="N18" s="60">
        <f>SUM(N5:N17)</f>
        <v/>
      </c>
      <c r="O18" s="48" t="n"/>
      <c r="P18" s="60">
        <f>SUM(P5:P17)</f>
        <v/>
      </c>
      <c r="Q18" s="60">
        <f>SUM(Q5:Q17)</f>
        <v/>
      </c>
      <c r="R18" s="48" t="n"/>
      <c r="S18" s="60">
        <f>SUM(S5:S17)</f>
        <v/>
      </c>
      <c r="T18" s="60">
        <f>SUM(T5:T17)</f>
        <v/>
      </c>
      <c r="U18" s="48" t="n"/>
      <c r="V18" s="60">
        <f>SUM(V5:V17)</f>
        <v/>
      </c>
      <c r="W18" s="60">
        <f>SUM(W5:W17)</f>
        <v/>
      </c>
      <c r="X18" s="48" t="n"/>
      <c r="Y18" s="60">
        <f>SUM(Y5:Y17)</f>
        <v/>
      </c>
      <c r="Z18" s="60">
        <f>SUM(Z5:Z17)</f>
        <v/>
      </c>
      <c r="AA18" s="48" t="n"/>
      <c r="AB18" s="60">
        <f>SUM(AB5:AB17)</f>
        <v/>
      </c>
      <c r="AC18" s="60">
        <f>SUM(AC5:AC17)</f>
        <v/>
      </c>
      <c r="AD18" s="48" t="n"/>
      <c r="AE18" s="60">
        <f>SUM(AE5:AE17)</f>
        <v/>
      </c>
      <c r="AF18" s="60">
        <f>SUM(AF5:AF17)</f>
        <v/>
      </c>
      <c r="AG18" s="48" t="n"/>
      <c r="AH18" s="60">
        <f>SUM(AH5:AH17)</f>
        <v/>
      </c>
      <c r="AI18" s="60">
        <f>SUM(AI5:AI17)</f>
        <v/>
      </c>
      <c r="AJ18" s="48" t="n"/>
      <c r="AK18" s="60">
        <f>SUM(AK5:AK17)</f>
        <v/>
      </c>
      <c r="AL18" s="60">
        <f>SUM(AL5:AL17)</f>
        <v/>
      </c>
      <c r="AM18" s="48" t="n"/>
      <c r="AN18" s="60">
        <f>SUM(AN5:AN17)</f>
        <v/>
      </c>
      <c r="AO18" s="60">
        <f>SUM(AO5:AO17)</f>
        <v/>
      </c>
      <c r="AP18" s="48" t="n"/>
      <c r="AQ18" s="60">
        <f>SUM(AQ5:AQ17)</f>
        <v/>
      </c>
      <c r="AR18" s="60">
        <f>SUM(AR5:AR17)</f>
        <v/>
      </c>
      <c r="AS18" s="48" t="n"/>
      <c r="AT18" s="60">
        <f>SUM(AT5:AT17)</f>
        <v/>
      </c>
      <c r="AU18" s="60">
        <f>SUM(AU5:AU17)</f>
        <v/>
      </c>
      <c r="AV18" s="48" t="n"/>
      <c r="AW18" s="60">
        <f>SUM(AW5:AW17)</f>
        <v/>
      </c>
      <c r="AX18" s="60">
        <f>SUM(AX5:AX17)</f>
        <v/>
      </c>
      <c r="AY18" s="48" t="n"/>
      <c r="AZ18" s="60">
        <f>SUM(AZ5:AZ17)</f>
        <v/>
      </c>
      <c r="BA18" s="60">
        <f>SUM(BA5:BA17)</f>
        <v/>
      </c>
      <c r="BB18" s="48" t="n"/>
      <c r="BC18" s="60">
        <f>SUM(BC5:BC17)</f>
        <v/>
      </c>
      <c r="BD18" s="60">
        <f>SUM(BD5:BD17)</f>
        <v/>
      </c>
      <c r="BE18" s="48" t="n"/>
      <c r="BF18" s="60">
        <f>SUM(BF5:BF17)</f>
        <v/>
      </c>
      <c r="BG18" s="60">
        <f>SUM(BG5:BG17)</f>
        <v/>
      </c>
      <c r="BH18" s="48" t="n"/>
      <c r="BI18" s="60">
        <f>SUM(BI5:BI17)</f>
        <v/>
      </c>
      <c r="BJ18" s="60">
        <f>SUM(BJ5:BJ17)</f>
        <v/>
      </c>
      <c r="BK18" s="48" t="n"/>
      <c r="BL18" s="60">
        <f>SUM(BL5:BL17)</f>
        <v/>
      </c>
      <c r="BM18" s="60">
        <f>SUM(BM5:BM17)</f>
        <v/>
      </c>
      <c r="BN18" s="48" t="n"/>
      <c r="BO18" s="60">
        <f>SUM(BO5:BO17)</f>
        <v/>
      </c>
      <c r="BP18" s="60">
        <f>SUM(BP5:BP17)</f>
        <v/>
      </c>
      <c r="BQ18" s="48" t="n"/>
      <c r="BR18" s="60">
        <f>SUM(BR5:BR17)</f>
        <v/>
      </c>
      <c r="BS18" s="60">
        <f>SUM(BS5:BS17)</f>
        <v/>
      </c>
      <c r="BT18" s="48" t="n"/>
      <c r="BU18" s="60">
        <f>SUM(BU5:BU17)</f>
        <v/>
      </c>
      <c r="BV18" s="60">
        <f>SUM(BV5:BV17)</f>
        <v/>
      </c>
    </row>
    <row r="19" ht="30" customHeight="1" s="38"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1" t="n"/>
      <c r="Z19" s="61" t="n"/>
      <c r="AA19" s="61" t="n"/>
      <c r="AB19" s="61" t="n"/>
      <c r="AC19" s="61" t="n"/>
      <c r="AD19" s="61" t="n"/>
      <c r="AE19" s="61" t="n"/>
      <c r="AF19" s="61" t="n"/>
      <c r="AG19" s="61" t="n"/>
      <c r="AH19" s="61" t="n"/>
      <c r="AI19" s="61" t="n"/>
      <c r="AJ19" s="61" t="n"/>
      <c r="AK19" s="61" t="n"/>
      <c r="AL19" s="61" t="n"/>
      <c r="AM19" s="61" t="n"/>
      <c r="AN19" s="61" t="n"/>
      <c r="AO19" s="61" t="n"/>
      <c r="AP19" s="61" t="n"/>
      <c r="AQ19" s="61" t="n"/>
      <c r="AR19" s="61" t="n"/>
      <c r="AS19" s="61" t="n"/>
      <c r="AT19" s="61" t="n"/>
      <c r="AU19" s="61" t="n"/>
      <c r="AV19" s="61" t="n"/>
      <c r="AW19" s="61" t="n"/>
      <c r="AX19" s="61" t="n"/>
      <c r="AY19" s="61" t="n"/>
      <c r="AZ19" s="61" t="n"/>
      <c r="BA19" s="61" t="n"/>
      <c r="BB19" s="61" t="n"/>
      <c r="BC19" s="61" t="n"/>
      <c r="BD19" s="61" t="n"/>
      <c r="BE19" s="61" t="n"/>
      <c r="BF19" s="61" t="n"/>
      <c r="BG19" s="61" t="n"/>
      <c r="BH19" s="61" t="n"/>
      <c r="BI19" s="61" t="n"/>
      <c r="BJ19" s="61" t="n"/>
      <c r="BK19" s="61" t="n"/>
      <c r="BL19" s="61" t="n"/>
      <c r="BM19" s="61" t="n"/>
      <c r="BN19" s="61" t="n"/>
      <c r="BO19" s="61" t="n"/>
      <c r="BP19" s="61" t="n"/>
      <c r="BQ19" s="61" t="n"/>
      <c r="BR19" s="61" t="n"/>
      <c r="BS19" s="61" t="n"/>
      <c r="BT19" s="61" t="n"/>
      <c r="BU19" s="61" t="n"/>
      <c r="BV19" s="61" t="n"/>
    </row>
    <row r="20" ht="30" customHeight="1" s="38">
      <c r="B20" s="61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1" t="n"/>
      <c r="AD20" s="61" t="n"/>
      <c r="AE20" s="61" t="n"/>
      <c r="AF20" s="61" t="n"/>
      <c r="AG20" s="61" t="n"/>
      <c r="AH20" s="61" t="n"/>
      <c r="AI20" s="61" t="n"/>
      <c r="AJ20" s="61" t="n"/>
      <c r="AK20" s="61" t="n"/>
      <c r="AL20" s="61" t="n"/>
      <c r="AM20" s="61" t="n"/>
      <c r="AN20" s="61" t="n"/>
      <c r="AO20" s="61" t="n"/>
      <c r="AP20" s="61" t="n"/>
      <c r="AQ20" s="61" t="n"/>
      <c r="AR20" s="61" t="n"/>
      <c r="AS20" s="61" t="n"/>
      <c r="AT20" s="61" t="n"/>
      <c r="AU20" s="61" t="n"/>
      <c r="AV20" s="61" t="n"/>
      <c r="AW20" s="61" t="n"/>
      <c r="AX20" s="61" t="n"/>
      <c r="AY20" s="61" t="n"/>
      <c r="AZ20" s="61" t="n"/>
      <c r="BA20" s="61" t="n"/>
      <c r="BB20" s="61" t="n"/>
      <c r="BC20" s="61" t="n"/>
      <c r="BD20" s="61" t="n"/>
      <c r="BE20" s="61" t="n"/>
      <c r="BF20" s="61" t="n"/>
      <c r="BG20" s="61" t="n"/>
      <c r="BH20" s="61" t="n"/>
      <c r="BI20" s="61" t="n"/>
      <c r="BJ20" s="61" t="n"/>
      <c r="BK20" s="61" t="n"/>
      <c r="BL20" s="61" t="n"/>
      <c r="BM20" s="61" t="n"/>
      <c r="BN20" s="61" t="n"/>
      <c r="BO20" s="61" t="n"/>
      <c r="BP20" s="61" t="n"/>
      <c r="BQ20" s="61" t="n"/>
      <c r="BR20" s="61" t="n"/>
      <c r="BS20" s="61" t="n"/>
      <c r="BT20" s="61" t="n"/>
      <c r="BU20" s="61" t="n"/>
      <c r="BV20" s="61" t="n"/>
    </row>
    <row r="21" ht="30" customHeight="1" s="38"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1" t="n"/>
      <c r="Z21" s="61" t="n"/>
      <c r="AA21" s="61" t="n"/>
      <c r="AB21" s="61" t="n"/>
      <c r="AC21" s="61" t="n"/>
      <c r="AD21" s="61" t="n"/>
      <c r="AE21" s="61" t="n"/>
      <c r="AF21" s="61" t="n"/>
      <c r="AG21" s="61" t="n"/>
      <c r="AH21" s="61" t="n"/>
      <c r="AI21" s="61" t="n"/>
      <c r="AJ21" s="61" t="n"/>
      <c r="AK21" s="61" t="n"/>
      <c r="AL21" s="61" t="n"/>
      <c r="AM21" s="61" t="n"/>
      <c r="AN21" s="61" t="n"/>
      <c r="AO21" s="61" t="n"/>
      <c r="AP21" s="61" t="n"/>
      <c r="AQ21" s="61" t="n"/>
      <c r="AR21" s="61" t="n"/>
      <c r="AS21" s="61" t="n"/>
      <c r="AT21" s="61" t="n"/>
      <c r="AU21" s="61" t="n"/>
      <c r="AV21" s="61" t="n"/>
      <c r="AW21" s="61" t="n"/>
      <c r="AX21" s="61" t="n"/>
      <c r="AY21" s="61" t="n"/>
      <c r="AZ21" s="61" t="n"/>
      <c r="BA21" s="61" t="n"/>
      <c r="BB21" s="61" t="n"/>
      <c r="BC21" s="61" t="n"/>
      <c r="BD21" s="61" t="n"/>
      <c r="BE21" s="61" t="n"/>
      <c r="BF21" s="61" t="n"/>
      <c r="BG21" s="61" t="n"/>
      <c r="BH21" s="61" t="n"/>
      <c r="BI21" s="61" t="n"/>
      <c r="BJ21" s="61" t="n"/>
      <c r="BK21" s="61" t="n"/>
      <c r="BL21" s="61" t="n"/>
      <c r="BM21" s="61" t="n"/>
      <c r="BN21" s="61" t="n"/>
      <c r="BO21" s="61" t="n"/>
      <c r="BP21" s="61" t="n"/>
      <c r="BQ21" s="61" t="n"/>
      <c r="BR21" s="61" t="n"/>
      <c r="BS21" s="61" t="n"/>
      <c r="BT21" s="61" t="n"/>
      <c r="BU21" s="61" t="n"/>
      <c r="BV21" s="61" t="n"/>
    </row>
    <row r="22" ht="30" customHeight="1" s="38">
      <c r="B22" s="61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  <c r="AC22" s="61" t="n"/>
      <c r="AD22" s="61" t="n"/>
      <c r="AE22" s="61" t="n"/>
      <c r="AF22" s="61" t="n"/>
      <c r="AG22" s="61" t="n"/>
      <c r="AH22" s="61" t="n"/>
      <c r="AI22" s="61" t="n"/>
      <c r="AJ22" s="61" t="n"/>
      <c r="AK22" s="61" t="n"/>
      <c r="AL22" s="61" t="n"/>
      <c r="AM22" s="61" t="n"/>
      <c r="AN22" s="61" t="n"/>
      <c r="AO22" s="61" t="n"/>
      <c r="AP22" s="61" t="n"/>
      <c r="AQ22" s="61" t="n"/>
      <c r="AR22" s="61" t="n"/>
      <c r="AS22" s="61" t="n"/>
      <c r="AT22" s="61" t="n"/>
      <c r="AU22" s="61" t="n"/>
      <c r="AV22" s="61" t="n"/>
      <c r="AW22" s="61" t="n"/>
      <c r="AX22" s="61" t="n"/>
      <c r="AY22" s="61" t="n"/>
      <c r="AZ22" s="61" t="n"/>
      <c r="BA22" s="61" t="n"/>
      <c r="BB22" s="61" t="n"/>
      <c r="BC22" s="61" t="n"/>
      <c r="BD22" s="61" t="n"/>
      <c r="BE22" s="61" t="n"/>
      <c r="BF22" s="61" t="n"/>
      <c r="BG22" s="61" t="n"/>
      <c r="BH22" s="61" t="n"/>
      <c r="BI22" s="61" t="n"/>
      <c r="BJ22" s="61" t="n"/>
      <c r="BK22" s="61" t="n"/>
      <c r="BL22" s="61" t="n"/>
      <c r="BM22" s="61" t="n"/>
      <c r="BN22" s="61" t="n"/>
      <c r="BO22" s="61" t="n"/>
      <c r="BP22" s="61" t="n"/>
      <c r="BQ22" s="61" t="n"/>
      <c r="BR22" s="61" t="n"/>
      <c r="BS22" s="61" t="n"/>
      <c r="BT22" s="61" t="n"/>
      <c r="BU22" s="61" t="n"/>
      <c r="BV22" s="61" t="n"/>
    </row>
    <row r="23" ht="30" customHeight="1" s="38">
      <c r="B23" s="61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61" t="n"/>
      <c r="X23" s="61" t="n"/>
      <c r="Y23" s="61" t="n"/>
      <c r="Z23" s="61" t="n"/>
      <c r="AA23" s="61" t="n"/>
      <c r="AB23" s="61" t="n"/>
      <c r="AC23" s="61" t="n"/>
      <c r="AD23" s="61" t="n"/>
      <c r="AE23" s="61" t="n"/>
      <c r="AF23" s="61" t="n"/>
      <c r="AG23" s="61" t="n"/>
      <c r="AH23" s="61" t="n"/>
      <c r="AI23" s="61" t="n"/>
      <c r="AJ23" s="61" t="n"/>
      <c r="AK23" s="61" t="n"/>
      <c r="AL23" s="61" t="n"/>
      <c r="AM23" s="61" t="n"/>
      <c r="AN23" s="61" t="n"/>
      <c r="AO23" s="61" t="n"/>
      <c r="AP23" s="61" t="n"/>
      <c r="AQ23" s="61" t="n"/>
      <c r="AR23" s="61" t="n"/>
      <c r="AS23" s="61" t="n"/>
      <c r="AT23" s="61" t="n"/>
      <c r="AU23" s="61" t="n"/>
      <c r="AV23" s="61" t="n"/>
      <c r="AW23" s="61" t="n"/>
      <c r="AX23" s="61" t="n"/>
      <c r="AY23" s="61" t="n"/>
      <c r="AZ23" s="61" t="n"/>
      <c r="BA23" s="61" t="n"/>
      <c r="BB23" s="61" t="n"/>
      <c r="BC23" s="61" t="n"/>
      <c r="BD23" s="61" t="n"/>
      <c r="BE23" s="61" t="n"/>
      <c r="BF23" s="61" t="n"/>
      <c r="BG23" s="61" t="n"/>
      <c r="BH23" s="61" t="n"/>
      <c r="BI23" s="61" t="n"/>
      <c r="BJ23" s="61" t="n"/>
      <c r="BK23" s="61" t="n"/>
      <c r="BL23" s="61" t="n"/>
      <c r="BM23" s="61" t="n"/>
      <c r="BN23" s="61" t="n"/>
      <c r="BO23" s="61" t="n"/>
      <c r="BP23" s="61" t="n"/>
      <c r="BQ23" s="61" t="n"/>
      <c r="BR23" s="61" t="n"/>
      <c r="BS23" s="61" t="n"/>
      <c r="BT23" s="61" t="n"/>
      <c r="BU23" s="61" t="n"/>
      <c r="BV23" s="61" t="n"/>
    </row>
    <row r="24" ht="30" customHeight="1" s="38">
      <c r="B24" s="61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61" t="n"/>
      <c r="X24" s="61" t="n"/>
      <c r="Y24" s="61" t="n"/>
      <c r="Z24" s="61" t="n"/>
      <c r="AA24" s="61" t="n"/>
      <c r="AB24" s="61" t="n"/>
      <c r="AC24" s="61" t="n"/>
      <c r="AD24" s="61" t="n"/>
      <c r="AE24" s="61" t="n"/>
      <c r="AF24" s="61" t="n"/>
      <c r="AG24" s="61" t="n"/>
      <c r="AH24" s="61" t="n"/>
      <c r="AI24" s="61" t="n"/>
      <c r="AJ24" s="61" t="n"/>
      <c r="AK24" s="61" t="n"/>
      <c r="AL24" s="61" t="n"/>
      <c r="AM24" s="61" t="n"/>
      <c r="AN24" s="61" t="n"/>
      <c r="AO24" s="61" t="n"/>
      <c r="AP24" s="61" t="n"/>
      <c r="AQ24" s="61" t="n"/>
      <c r="AR24" s="61" t="n"/>
      <c r="AS24" s="61" t="n"/>
      <c r="AT24" s="61" t="n"/>
      <c r="AU24" s="61" t="n"/>
      <c r="AV24" s="61" t="n"/>
      <c r="AW24" s="61" t="n"/>
      <c r="AX24" s="61" t="n"/>
      <c r="AY24" s="61" t="n"/>
      <c r="AZ24" s="61" t="n"/>
      <c r="BA24" s="61" t="n"/>
      <c r="BB24" s="61" t="n"/>
      <c r="BC24" s="61" t="n"/>
      <c r="BD24" s="61" t="n"/>
      <c r="BE24" s="61" t="n"/>
      <c r="BF24" s="61" t="n"/>
      <c r="BG24" s="61" t="n"/>
      <c r="BH24" s="61" t="n"/>
      <c r="BI24" s="61" t="n"/>
      <c r="BJ24" s="61" t="n"/>
      <c r="BK24" s="61" t="n"/>
      <c r="BL24" s="61" t="n"/>
      <c r="BM24" s="61" t="n"/>
      <c r="BN24" s="61" t="n"/>
      <c r="BO24" s="61" t="n"/>
      <c r="BP24" s="61" t="n"/>
      <c r="BQ24" s="61" t="n"/>
      <c r="BR24" s="61" t="n"/>
      <c r="BS24" s="61" t="n"/>
      <c r="BT24" s="61" t="n"/>
      <c r="BU24" s="61" t="n"/>
      <c r="BV24" s="61" t="n"/>
    </row>
    <row r="25" ht="30" customHeight="1" s="38"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  <c r="AT25" s="61" t="n"/>
      <c r="AU25" s="61" t="n"/>
      <c r="AV25" s="61" t="n"/>
      <c r="AW25" s="61" t="n"/>
      <c r="AX25" s="61" t="n"/>
      <c r="AY25" s="61" t="n"/>
      <c r="AZ25" s="61" t="n"/>
      <c r="BA25" s="61" t="n"/>
      <c r="BB25" s="61" t="n"/>
      <c r="BC25" s="61" t="n"/>
      <c r="BD25" s="61" t="n"/>
      <c r="BE25" s="61" t="n"/>
      <c r="BF25" s="61" t="n"/>
      <c r="BG25" s="61" t="n"/>
      <c r="BH25" s="61" t="n"/>
      <c r="BI25" s="61" t="n"/>
      <c r="BJ25" s="61" t="n"/>
      <c r="BK25" s="61" t="n"/>
      <c r="BL25" s="61" t="n"/>
      <c r="BM25" s="61" t="n"/>
      <c r="BN25" s="61" t="n"/>
      <c r="BO25" s="61" t="n"/>
      <c r="BP25" s="61" t="n"/>
      <c r="BQ25" s="61" t="n"/>
      <c r="BR25" s="61" t="n"/>
      <c r="BS25" s="61" t="n"/>
      <c r="BT25" s="61" t="n"/>
      <c r="BU25" s="61" t="n"/>
      <c r="BV25" s="61" t="n"/>
    </row>
    <row r="26" ht="15.75" customHeight="1" s="38">
      <c r="B26" s="61" t="n"/>
      <c r="C26" s="62" t="n"/>
      <c r="D26" s="61" t="n"/>
      <c r="E26" s="40" t="n"/>
      <c r="F26" s="40" t="n"/>
      <c r="G26" s="40" t="n"/>
      <c r="H26" s="62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  <c r="AC26" s="61" t="n"/>
      <c r="AD26" s="61" t="n"/>
      <c r="AE26" s="61" t="n"/>
      <c r="AF26" s="61" t="n"/>
      <c r="AG26" s="61" t="n"/>
      <c r="AH26" s="61" t="n"/>
      <c r="AI26" s="61" t="n"/>
      <c r="AJ26" s="61" t="n"/>
      <c r="AK26" s="61" t="n"/>
      <c r="AL26" s="61" t="n"/>
      <c r="AM26" s="61" t="n"/>
      <c r="AN26" s="61" t="n"/>
      <c r="AO26" s="61" t="n"/>
      <c r="AP26" s="61" t="n"/>
      <c r="AQ26" s="61" t="n"/>
      <c r="AR26" s="61" t="n"/>
      <c r="AS26" s="61" t="n"/>
      <c r="AT26" s="61" t="n"/>
      <c r="AU26" s="61" t="n"/>
      <c r="AV26" s="61" t="n"/>
      <c r="AW26" s="61" t="n"/>
      <c r="AX26" s="61" t="n"/>
      <c r="AY26" s="61" t="n"/>
      <c r="AZ26" s="61" t="n"/>
      <c r="BA26" s="61" t="n"/>
      <c r="BB26" s="61" t="n"/>
      <c r="BC26" s="61" t="n"/>
      <c r="BD26" s="61" t="n"/>
      <c r="BE26" s="61" t="n"/>
      <c r="BF26" s="61" t="n"/>
      <c r="BG26" s="61" t="n"/>
      <c r="BH26" s="61" t="n"/>
      <c r="BI26" s="61" t="n"/>
      <c r="BJ26" s="61" t="n"/>
      <c r="BK26" s="61" t="n"/>
      <c r="BL26" s="61" t="n"/>
      <c r="BM26" s="61" t="n"/>
      <c r="BN26" s="61" t="n"/>
      <c r="BO26" s="61" t="n"/>
      <c r="BP26" s="61" t="n"/>
      <c r="BQ26" s="61" t="n"/>
      <c r="BR26" s="61" t="n"/>
      <c r="BS26" s="61" t="n"/>
      <c r="BT26" s="61" t="n"/>
      <c r="BU26" s="61" t="n"/>
      <c r="BV26" s="61" t="n"/>
    </row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</sheetData>
  <mergeCells count="26">
    <mergeCell ref="B2:BV2"/>
    <mergeCell ref="AH3:AI3"/>
    <mergeCell ref="AN3:AO3"/>
    <mergeCell ref="Y3:Z3"/>
    <mergeCell ref="BU3:BV3"/>
    <mergeCell ref="B1:BV1"/>
    <mergeCell ref="B18:C18"/>
    <mergeCell ref="S3:T3"/>
    <mergeCell ref="AT3:AU3"/>
    <mergeCell ref="BF3:BG3"/>
    <mergeCell ref="AE3:AF3"/>
    <mergeCell ref="AK3:AL3"/>
    <mergeCell ref="AW3:AX3"/>
    <mergeCell ref="BR3:BS3"/>
    <mergeCell ref="AQ3:AR3"/>
    <mergeCell ref="BI3:BJ3"/>
    <mergeCell ref="BC3:BD3"/>
    <mergeCell ref="BO3:BP3"/>
    <mergeCell ref="M3:N3"/>
    <mergeCell ref="D18:H18"/>
    <mergeCell ref="J3:K3"/>
    <mergeCell ref="P3:Q3"/>
    <mergeCell ref="AZ3:BA3"/>
    <mergeCell ref="BL3:BM3"/>
    <mergeCell ref="V3:W3"/>
    <mergeCell ref="AB3:AC3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4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38" min="1" max="1"/>
    <col width="30" customWidth="1" style="38" min="2" max="2"/>
    <col width="80" customWidth="1" style="38" min="3" max="3"/>
    <col width="8.710000000000001" customWidth="1" style="38" min="4" max="26"/>
  </cols>
  <sheetData>
    <row r="1">
      <c r="B1" s="63" t="inlineStr">
        <is>
          <t>Sprint Backlog — Instructivo de uso</t>
        </is>
      </c>
      <c r="C1" s="40" t="n"/>
    </row>
    <row r="2" ht="19.5" customHeight="1" s="38">
      <c r="B2" s="32" t="inlineStr">
        <is>
          <t>Columna</t>
        </is>
      </c>
      <c r="C2" s="33" t="inlineStr">
        <is>
          <t>Instrucciones</t>
        </is>
      </c>
    </row>
    <row r="3" ht="34.5" customHeight="1" s="38">
      <c r="B3" s="34" t="inlineStr">
        <is>
          <t>ID Historia / Boilerplate</t>
        </is>
      </c>
      <c r="C3" s="35" t="inlineStr">
        <is>
          <t>Código del elemento del Product Backlog (HU-XX) o tarea técnica de infraestructura (BT-XX) al que pertenece la tarea.</t>
        </is>
      </c>
    </row>
    <row r="4" ht="34.5" customHeight="1" s="38">
      <c r="B4" s="36" t="inlineStr">
        <is>
          <t>Enunciado del ítem</t>
        </is>
      </c>
      <c r="C4" s="37" t="inlineStr">
        <is>
          <t>Historia de usuario o descripción de la tarea de infraestructura. Se muestra solo en la primera fila del grupo de tareas asociadas.</t>
        </is>
      </c>
    </row>
    <row r="5" ht="34.5" customHeight="1" s="38">
      <c r="B5" s="34" t="inlineStr">
        <is>
          <t>Tarea</t>
        </is>
      </c>
      <c r="C5" s="35" t="inlineStr">
        <is>
          <t>Descripción de la tarea específica a realizar para completar el ítem. Incluye el identificador (T-XX) y la descripción detallada.</t>
        </is>
      </c>
    </row>
    <row r="6" ht="34.5" customHeight="1" s="38">
      <c r="B6" s="36" t="inlineStr">
        <is>
          <t>Responsable</t>
        </is>
      </c>
      <c r="C6" s="37" t="inlineStr">
        <is>
          <t>Miembro del equipo que tomó voluntariamente la tarea durante la Sprint Planning o la Daily Scrum.</t>
        </is>
      </c>
    </row>
    <row r="7" ht="34.5" customHeight="1" s="38">
      <c r="B7" s="34" t="inlineStr">
        <is>
          <t>Prioridad</t>
        </is>
      </c>
      <c r="C7" s="35" t="inlineStr">
        <is>
          <t>Nivel de prioridad: Alta (crítica para el MVP), Media (importante para UX), Baja (deseable).</t>
        </is>
      </c>
    </row>
    <row r="8" ht="34.5" customHeight="1" s="38">
      <c r="B8" s="36" t="inlineStr">
        <is>
          <t>Tarea Predecesora</t>
        </is>
      </c>
      <c r="C8" s="37" t="inlineStr">
        <is>
          <t>Identificador de la tarea que debe completarse antes de iniciar esta. 'Ninguna' si no tiene dependencia.</t>
        </is>
      </c>
    </row>
    <row r="9" ht="34.5" customHeight="1" s="38">
      <c r="B9" s="34" t="inlineStr">
        <is>
          <t>Estatus</t>
        </is>
      </c>
      <c r="C9" s="35" t="inlineStr">
        <is>
          <t>Estado actual: Pendiente / En Proceso / Hecho.</t>
        </is>
      </c>
    </row>
    <row r="10" ht="34.5" customHeight="1" s="38">
      <c r="B10" s="36" t="inlineStr">
        <is>
          <t>Horas Est.</t>
        </is>
      </c>
      <c r="C10" s="37" t="inlineStr">
        <is>
          <t>Horas estimadas por el equipo durante la Sprint Planning para completar la tarea.</t>
        </is>
      </c>
    </row>
    <row r="11" ht="34.5" customHeight="1" s="38">
      <c r="B11" s="34" t="inlineStr">
        <is>
          <t>Día N — Cons.</t>
        </is>
      </c>
      <c r="C11" s="35" t="inlineStr">
        <is>
          <t>Horas consumidas en esa tarea durante el día N del sprint.</t>
        </is>
      </c>
    </row>
    <row r="12" ht="34.5" customHeight="1" s="38">
      <c r="B12" s="36" t="inlineStr">
        <is>
          <t>Día N — Rest.</t>
        </is>
      </c>
      <c r="C12" s="37" t="inlineStr">
        <is>
          <t>Horas restantes luego del consumo del día N. Se calcula: Rest(N-1) − Cons(N). El primer día: Horas Est. − Cons(1).</t>
        </is>
      </c>
    </row>
    <row r="13" ht="34.5" customHeight="1" s="38">
      <c r="B13" s="34" t="inlineStr">
        <is>
          <t>Total — Cons.</t>
        </is>
      </c>
      <c r="C13" s="35" t="inlineStr">
        <is>
          <t>Suma total de todas las horas consumidas a lo largo del sprint para esa tarea.</t>
        </is>
      </c>
    </row>
    <row r="14" ht="34.5" customHeight="1" s="38">
      <c r="B14" s="36" t="inlineStr">
        <is>
          <t>Total — Rest.</t>
        </is>
      </c>
      <c r="C14" s="37" t="inlineStr">
        <is>
          <t>Horas restantes al finalizar el sprint. Debería ser 0 si la tarea fue completada.</t>
        </is>
      </c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1">
    <mergeCell ref="B1:C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2026-04-23T06:13:39Z</dcterms:created>
  <dcterms:modified xmlns:dcterms="http://purl.org/dc/terms/" xmlns:xsi="http://www.w3.org/2001/XMLSchema-instance" xsi:type="dcterms:W3CDTF">2026-04-23T06:13:40Z</dcterms:modified>
</cp:coreProperties>
</file>