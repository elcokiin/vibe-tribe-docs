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  <sheet state="visible" name="Instructivo" sheetId="2" r:id="rId5"/>
  </sheets>
  <definedNames/>
  <calcPr/>
  <extLst>
    <ext uri="GoogleSheetsCustomDataVersion2">
      <go:sheetsCustomData xmlns:go="http://customooxmlschemas.google.com/" r:id="rId6" roundtripDataChecksum="jSk9akVAIozk33K32+Vi3krM9LhlzY0vmM2QPcDYgU4="/>
    </ext>
  </extLst>
</workbook>
</file>

<file path=xl/sharedStrings.xml><?xml version="1.0" encoding="utf-8"?>
<sst xmlns="http://schemas.openxmlformats.org/spreadsheetml/2006/main" count="180" uniqueCount="96">
  <si>
    <t>SPRINT BACKLOG 3 — VibeTribe</t>
  </si>
  <si>
    <t>Proyecto: VibeTribe — Aplicación Móvil de Viajes Colaborativos  |  Sprint 4  |  Fecha inicio: 15/05/2026  |  Fecha fin: 29/05/2026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</si>
  <si>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</si>
  <si>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</si>
  <si>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</si>
  <si>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</si>
  <si>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</si>
  <si>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</si>
  <si>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</si>
  <si>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</si>
  <si>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</si>
  <si>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</si>
  <si>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</si>
  <si>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</si>
  <si>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</si>
  <si>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</si>
  <si>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</si>
  <si>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</si>
  <si>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</si>
  <si>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</si>
  <si>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</si>
  <si>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</si>
  <si>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</si>
  <si>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Total</t>
  </si>
  <si>
    <t>ID Historia</t>
  </si>
  <si>
    <t>Enunciado del ítem de Product Backlog</t>
  </si>
  <si>
    <t>Tarea</t>
  </si>
  <si>
    <t>Responsable</t>
  </si>
  <si>
    <t>Prioridad</t>
  </si>
  <si>
    <t>Tarea Predecesora</t>
  </si>
  <si>
    <t>Estatus</t>
  </si>
  <si>
    <t>Horas Est.</t>
  </si>
  <si>
    <t>Cons.</t>
  </si>
  <si>
    <t>Rest.</t>
  </si>
  <si>
    <t>BT-10</t>
  </si>
  <si>
    <t>Implementación de la API REST para el sistema de calificaciones entre participantes con Node.js y Hono, incluyendo validación de viaje finalizado y control de unicidad de evaluación, conectado a PostgreSQL en AWS RDS.</t>
  </si>
  <si>
    <t>T-59 — Definir y migrar esquema de base de datos: tabla ratings con campos id, trip_id, evaluator_id, evaluated_id, score, comment y created_at.</t>
  </si>
  <si>
    <t>Camilo</t>
  </si>
  <si>
    <t>Alta</t>
  </si>
  <si>
    <t>Ninguna</t>
  </si>
  <si>
    <t>Pendiente</t>
  </si>
  <si>
    <t>T-47 — Implementar endpoint POST /packages/:id/enroll con validación de cupos disponibles, verificación de duplicados y transacción atómica en base de datos</t>
  </si>
  <si>
    <t>Juan José</t>
  </si>
  <si>
    <t>T-46</t>
  </si>
  <si>
    <t>T-48 — Implementar endpoint GET /packages/:id/enrollments para obtener la lista completa de participantes inscritos en el paquete</t>
  </si>
  <si>
    <t>T-47</t>
  </si>
  <si>
    <t>BT-08</t>
  </si>
  <si>
    <t>Implementación de la lógica de cancelación de inscripciones en el backend con reglas de negocio y actualización automática de cupos</t>
  </si>
  <si>
    <t>T-49 — Implementar endpoint DELETE /packages/:id/enroll con lógica de cancelación y restauración del cupo disponible en el paquete</t>
  </si>
  <si>
    <t>T-50 — Optimizar transacciones en base de datos para garantizar consistencia en operaciones concurrentes de inscripción y cancelación</t>
  </si>
  <si>
    <t>T-49</t>
  </si>
  <si>
    <t>BT-09</t>
  </si>
  <si>
    <t>Desarrollo de pantallas frontend en React Native: flujo de inscripción a paquete y pantalla de cancelación integradas con el backend</t>
  </si>
  <si>
    <t>T-51 — Desarrollar pantalla de Inscripción en React Native con botón "Unirse al paquete", indicador de cupos disponibles y feedback visual de éxito/error</t>
  </si>
  <si>
    <t>T-48</t>
  </si>
  <si>
    <t>T-52 — Desarrollar pantalla de Cancelación en React Native con modal de confirmación e integración al endpoint DELETE /packages/:id/enroll</t>
  </si>
  <si>
    <t>T-51</t>
  </si>
  <si>
    <t>HU-11</t>
  </si>
  <si>
    <t>Como usuario, quiero inscribirme a un paquete de viaje disponible para participar en él junto a otros viajeros</t>
  </si>
  <si>
    <t>T-53 — Backend — Implementar lógica completa de inscripción con validación de cupos, estado del paquete y restricción de inscripciones duplicadas en PostgreSQL</t>
  </si>
  <si>
    <t>T-50</t>
  </si>
  <si>
    <t>T-54 — Frontend — Integrar el flujo de inscripción en React Native: llamada al endpoint, actualización de la vista de detalle del paquete y notificación de éxito o error</t>
  </si>
  <si>
    <t>T-53</t>
  </si>
  <si>
    <t>T-55 — Pruebas unitarias y de integración del flujo de inscripción: cupos agotados, usuario ya inscrito e inscripción exitosa</t>
  </si>
  <si>
    <t>Diego</t>
  </si>
  <si>
    <t>T-54</t>
  </si>
  <si>
    <t>HU-12</t>
  </si>
  <si>
    <t>Como usuario inscrito, quiero cancelar mi inscripción a un paquete de viaje para liberar mi cupo si ya no puedo asistir</t>
  </si>
  <si>
    <t>T-56 — Backend — Implementar lógica de cancelación con actualización del estado de la inscripción y restauración del cupo disponible en el paquete</t>
  </si>
  <si>
    <t>T-57 — Frontend — Desarrollar pantalla de cancelación en React Native con modal de confirmación y actualización del estado visual del botón de inscripción</t>
  </si>
  <si>
    <t>T-56</t>
  </si>
  <si>
    <t>T-58 — Pruebas unitarias y de integración del flujo de cancelación: cancelación exitosa, intento sin inscripción previa y validación de permisos de usuario</t>
  </si>
  <si>
    <t>T-57</t>
  </si>
  <si>
    <t>TOTAL</t>
  </si>
  <si>
    <t>TOTAL HORAS ESTIMADAS DEL SPRINT</t>
  </si>
  <si>
    <t>Sprint Backlog — Instructivo de uso</t>
  </si>
  <si>
    <t>Columna</t>
  </si>
  <si>
    <t>Instrucciones</t>
  </si>
  <si>
    <t>ID Historia / Boilerplate</t>
  </si>
  <si>
    <t>Código del elemento del Product Backlog (HU-XX) o tarea técnica de infraestructura (BT-XX) al que pertenece la tarea.</t>
  </si>
  <si>
    <t>Enunciado del ítem</t>
  </si>
  <si>
    <t>Historia de usuario o descripción de la tarea de infraestructura. Se muestra solo en la primera fila del grupo de tareas asociadas.</t>
  </si>
  <si>
    <t>Descripción de la tarea específica a realizar para completar el ítem. Incluye el identificador (T-XX) y la descripción detallada.</t>
  </si>
  <si>
    <t>Miembro del equipo que tomó voluntariamente la tarea durante la Sprint Planning o la Daily Scrum.</t>
  </si>
  <si>
    <t>Nivel de prioridad: Alta (crítica para el MVP), Media (importante para UX), Baja (deseable).</t>
  </si>
  <si>
    <t>Identificador de la tarea que debe completarse antes de iniciar esta. 'Ninguna' si no tiene dependencia.</t>
  </si>
  <si>
    <t>Estado actual: Pendiente / En Proceso / Hecho.</t>
  </si>
  <si>
    <t>Horas estimadas por el equipo durante la Sprint Planning para completar la tarea.</t>
  </si>
  <si>
    <t>Día N — Cons.</t>
  </si>
  <si>
    <t>Horas consumidas en esa tarea durante el día N del sprint.</t>
  </si>
  <si>
    <t>Día N — Rest.</t>
  </si>
  <si>
    <t>Horas restantes luego del consumo del día N. Se calcula: Rest(N-1) − Cons(N). El primer día: Horas Est. − Cons(1).</t>
  </si>
  <si>
    <t>Total — Cons.</t>
  </si>
  <si>
    <t>Suma total de todas las horas consumidas a lo largo del sprint para esa tarea.</t>
  </si>
  <si>
    <t>Total — Rest.</t>
  </si>
  <si>
    <t>Horas restantes al finalizar el sprint. Debería ser 0 si la tarea fue completada.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</si>
</sst>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/>
    <font>
      <sz val="10.0"/>
      <color rgb="FFFFFFFF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b/>
      <sz val="9.0"/>
      <color rgb="FF1A1A1A"/>
      <name val="Calibri"/>
    </font>
    <font>
      <sz val="9.0"/>
      <color rgb="FF1A1A1A"/>
      <name val="Calibri"/>
    </font>
    <font>
      <sz val="8.0"/>
      <color rgb="FF1A1A1A"/>
      <name val="Calibri"/>
    </font>
    <font>
      <color theme="1"/>
      <name val="Calibri"/>
      <scheme val="minor"/>
    </font>
    <font>
      <b/>
      <sz val="9.0"/>
      <color rgb="FFFFFFFF"/>
      <name val="Calibri"/>
    </font>
    <font>
      <b/>
      <sz val="8.0"/>
      <color rgb="FFFFFFFF"/>
      <name val="Calibri"/>
    </font>
    <font>
      <b/>
      <sz val="13.0"/>
      <color rgb="FFFFFFFF"/>
      <name val="Arial"/>
    </font>
    <font>
      <sz val="9.0"/>
      <color rgb="FFFFFFFF"/>
      <name val="Arial"/>
    </font>
    <font>
      <sz val="9.0"/>
      <color rgb="FF1A1A1A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404040"/>
        <bgColor rgb="FF404040"/>
      </patternFill>
    </fill>
    <fill>
      <patternFill patternType="solid">
        <fgColor rgb="FF6D6D6D"/>
        <bgColor rgb="FF6D6D6D"/>
      </patternFill>
    </fill>
    <fill>
      <patternFill patternType="solid">
        <fgColor rgb="FFFFFFFF"/>
        <bgColor rgb="FFFFFFFF"/>
      </patternFill>
    </fill>
    <fill>
      <patternFill patternType="solid">
        <fgColor rgb="FFB0B0B0"/>
        <bgColor rgb="FFB0B0B0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left" readingOrder="0" vertical="center"/>
    </xf>
    <xf borderId="4" fillId="4" fontId="1" numFmtId="0" xfId="0" applyAlignment="1" applyBorder="1" applyFill="1" applyFont="1">
      <alignment vertical="bottom"/>
    </xf>
    <xf borderId="1" fillId="4" fontId="5" numFmtId="0" xfId="0" applyAlignment="1" applyBorder="1" applyFont="1">
      <alignment horizontal="center" vertical="center"/>
    </xf>
    <xf borderId="5" fillId="5" fontId="1" numFmtId="0" xfId="0" applyAlignment="1" applyBorder="1" applyFill="1" applyFont="1">
      <alignment vertical="bottom"/>
    </xf>
    <xf borderId="4" fillId="3" fontId="5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vertical="center"/>
    </xf>
    <xf borderId="6" fillId="6" fontId="7" numFmtId="0" xfId="0" applyAlignment="1" applyBorder="1" applyFill="1" applyFont="1">
      <alignment horizontal="center" readingOrder="0" vertical="center"/>
    </xf>
    <xf borderId="6" fillId="6" fontId="7" numFmtId="0" xfId="0" applyAlignment="1" applyBorder="1" applyFont="1">
      <alignment horizontal="left" readingOrder="0" shrinkToFit="0" vertical="center" wrapText="1"/>
    </xf>
    <xf borderId="6" fillId="7" fontId="8" numFmtId="0" xfId="0" applyAlignment="1" applyBorder="1" applyFill="1" applyFont="1">
      <alignment horizontal="left" readingOrder="0" shrinkToFit="0" vertical="center" wrapText="1"/>
    </xf>
    <xf borderId="6" fillId="7" fontId="8" numFmtId="0" xfId="0" applyAlignment="1" applyBorder="1" applyFont="1">
      <alignment horizontal="center" vertical="center"/>
    </xf>
    <xf borderId="6" fillId="7" fontId="9" numFmtId="0" xfId="0" applyAlignment="1" applyBorder="1" applyFont="1">
      <alignment horizontal="center" vertical="center"/>
    </xf>
    <xf borderId="0" fillId="5" fontId="10" numFmtId="0" xfId="0" applyFont="1"/>
    <xf borderId="6" fillId="6" fontId="7" numFmtId="0" xfId="0" applyAlignment="1" applyBorder="1" applyFont="1">
      <alignment horizontal="center" vertical="center"/>
    </xf>
    <xf borderId="6" fillId="6" fontId="8" numFmtId="0" xfId="0" applyAlignment="1" applyBorder="1" applyFont="1">
      <alignment horizontal="left" shrinkToFit="0" vertical="center" wrapText="1"/>
    </xf>
    <xf borderId="6" fillId="8" fontId="8" numFmtId="0" xfId="0" applyAlignment="1" applyBorder="1" applyFill="1" applyFont="1">
      <alignment horizontal="left" shrinkToFit="0" vertical="center" wrapText="1"/>
    </xf>
    <xf borderId="6" fillId="8" fontId="8" numFmtId="0" xfId="0" applyAlignment="1" applyBorder="1" applyFont="1">
      <alignment horizontal="center" vertical="center"/>
    </xf>
    <xf borderId="6" fillId="8" fontId="9" numFmtId="0" xfId="0" applyAlignment="1" applyBorder="1" applyFont="1">
      <alignment horizontal="center" vertical="center"/>
    </xf>
    <xf borderId="6" fillId="7" fontId="8" numFmtId="0" xfId="0" applyAlignment="1" applyBorder="1" applyFont="1">
      <alignment horizontal="left" shrinkToFit="0" vertical="center" wrapText="1"/>
    </xf>
    <xf borderId="6" fillId="6" fontId="7" numFmtId="0" xfId="0" applyAlignment="1" applyBorder="1" applyFont="1">
      <alignment horizontal="left" shrinkToFit="0" vertical="center" wrapText="1"/>
    </xf>
    <xf borderId="6" fillId="7" fontId="7" numFmtId="0" xfId="0" applyAlignment="1" applyBorder="1" applyFont="1">
      <alignment horizontal="center" vertical="center"/>
    </xf>
    <xf borderId="6" fillId="7" fontId="7" numFmtId="0" xfId="0" applyAlignment="1" applyBorder="1" applyFont="1">
      <alignment horizontal="left" shrinkToFit="0" vertical="center" wrapText="1"/>
    </xf>
    <xf borderId="7" fillId="3" fontId="11" numFmtId="0" xfId="0" applyAlignment="1" applyBorder="1" applyFont="1">
      <alignment horizontal="left" vertical="center"/>
    </xf>
    <xf borderId="8" fillId="0" fontId="3" numFmtId="0" xfId="0" applyBorder="1" applyFont="1"/>
    <xf borderId="7" fillId="3" fontId="11" numFmtId="0" xfId="0" applyAlignment="1" applyBorder="1" applyFont="1">
      <alignment horizontal="right" vertical="center"/>
    </xf>
    <xf borderId="9" fillId="0" fontId="3" numFmtId="0" xfId="0" applyBorder="1" applyFont="1"/>
    <xf borderId="6" fillId="3" fontId="11" numFmtId="0" xfId="0" applyAlignment="1" applyBorder="1" applyFont="1">
      <alignment horizontal="center" vertical="center"/>
    </xf>
    <xf borderId="6" fillId="3" fontId="12" numFmtId="0" xfId="0" applyAlignment="1" applyBorder="1" applyFont="1">
      <alignment horizontal="center" vertical="center"/>
    </xf>
    <xf borderId="0" fillId="0" fontId="10" numFmtId="0" xfId="0" applyFont="1"/>
    <xf borderId="10" fillId="0" fontId="1" numFmtId="0" xfId="0" applyBorder="1" applyFont="1"/>
    <xf borderId="2" fillId="0" fontId="1" numFmtId="0" xfId="0" applyBorder="1" applyFont="1"/>
    <xf borderId="1" fillId="2" fontId="13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3" fontId="14" numFmtId="0" xfId="0" applyAlignment="1" applyBorder="1" applyFont="1">
      <alignment horizontal="left" shrinkToFit="0" vertical="center" wrapText="1"/>
    </xf>
    <xf borderId="4" fillId="8" fontId="15" numFmtId="0" xfId="0" applyAlignment="1" applyBorder="1" applyFont="1">
      <alignment horizontal="left" vertical="center"/>
    </xf>
    <xf borderId="4" fillId="8" fontId="15" numFmtId="0" xfId="0" applyAlignment="1" applyBorder="1" applyFont="1">
      <alignment horizontal="left" shrinkToFit="0" vertical="center" wrapText="1"/>
    </xf>
    <xf borderId="4" fillId="7" fontId="15" numFmtId="0" xfId="0" applyAlignment="1" applyBorder="1" applyFont="1">
      <alignment horizontal="left" vertical="center"/>
    </xf>
    <xf borderId="4" fillId="7" fontId="1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.57"/>
    <col customWidth="1" min="2" max="2" width="12.0"/>
    <col customWidth="1" min="3" max="3" width="52.0"/>
    <col customWidth="1" min="4" max="4" width="60.0"/>
    <col customWidth="1" min="5" max="5" width="14.0"/>
    <col customWidth="1" min="6" max="6" width="11.0"/>
    <col customWidth="1" min="7" max="7" width="14.0"/>
    <col customWidth="1" min="8" max="8" width="13.0"/>
    <col customWidth="1" min="9" max="9" width="10.0"/>
    <col customWidth="1" min="10" max="11" width="7.0"/>
    <col customWidth="1" min="12" max="12" width="1.57"/>
    <col customWidth="1" min="13" max="14" width="7.0"/>
    <col customWidth="1" min="15" max="15" width="1.57"/>
    <col customWidth="1" min="16" max="17" width="7.0"/>
    <col customWidth="1" min="18" max="18" width="1.57"/>
    <col customWidth="1" min="19" max="20" width="7.0"/>
    <col customWidth="1" min="21" max="21" width="1.57"/>
    <col customWidth="1" min="22" max="23" width="7.0"/>
    <col customWidth="1" min="24" max="24" width="1.57"/>
    <col customWidth="1" min="25" max="26" width="7.0"/>
    <col customWidth="1" min="27" max="27" width="1.57"/>
    <col customWidth="1" min="28" max="29" width="7.0"/>
    <col customWidth="1" min="30" max="30" width="1.57"/>
    <col customWidth="1" min="31" max="32" width="7.0"/>
    <col customWidth="1" min="33" max="33" width="1.57"/>
    <col customWidth="1" min="34" max="35" width="7.0"/>
    <col customWidth="1" min="36" max="36" width="1.57"/>
    <col customWidth="1" min="37" max="38" width="7.0"/>
    <col customWidth="1" min="39" max="39" width="1.57"/>
    <col customWidth="1" min="40" max="41" width="7.0"/>
    <col customWidth="1" min="42" max="42" width="1.57"/>
    <col customWidth="1" min="43" max="44" width="7.0"/>
    <col customWidth="1" min="45" max="45" width="1.57"/>
    <col customWidth="1" min="46" max="47" width="7.0"/>
    <col customWidth="1" min="48" max="48" width="1.57"/>
    <col customWidth="1" min="49" max="50" width="7.0"/>
    <col customWidth="1" min="51" max="51" width="1.57"/>
    <col customWidth="1" min="52" max="53" width="7.0"/>
    <col customWidth="1" min="54" max="54" width="1.57"/>
    <col customWidth="1" min="55" max="56" width="7.0"/>
    <col customWidth="1" min="57" max="57" width="1.57"/>
    <col customWidth="1" min="58" max="59" width="7.0"/>
    <col customWidth="1" min="60" max="60" width="1.57"/>
    <col customWidth="1" min="61" max="62" width="7.0"/>
    <col customWidth="1" min="63" max="63" width="1.57"/>
    <col customWidth="1" min="64" max="65" width="7.0"/>
    <col customWidth="1" min="66" max="66" width="1.57"/>
    <col customWidth="1" min="67" max="68" width="7.0"/>
    <col customWidth="1" min="69" max="69" width="1.57"/>
    <col customWidth="1" min="70" max="71" width="7.0"/>
    <col customWidth="1" min="72" max="72" width="1.57"/>
    <col customWidth="1" min="73" max="74" width="8.0"/>
  </cols>
  <sheetData>
    <row r="1" ht="27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4"/>
    </row>
    <row r="2" ht="19.5" customHeight="1">
      <c r="A2" s="1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4"/>
    </row>
    <row r="3" ht="18.0" customHeight="1">
      <c r="A3" s="1"/>
      <c r="B3" s="6"/>
      <c r="C3" s="6"/>
      <c r="D3" s="6"/>
      <c r="E3" s="6"/>
      <c r="F3" s="6"/>
      <c r="G3" s="6"/>
      <c r="H3" s="6"/>
      <c r="I3" s="6"/>
      <c r="J3" s="7" t="s">
        <v>2</v>
      </c>
      <c r="K3" s="4"/>
      <c r="L3" s="8"/>
      <c r="M3" s="7" t="s">
        <v>3</v>
      </c>
      <c r="N3" s="4"/>
      <c r="O3" s="8"/>
      <c r="P3" s="7" t="s">
        <v>4</v>
      </c>
      <c r="Q3" s="4"/>
      <c r="R3" s="8"/>
      <c r="S3" s="7" t="s">
        <v>5</v>
      </c>
      <c r="T3" s="4"/>
      <c r="U3" s="8"/>
      <c r="V3" s="7" t="s">
        <v>6</v>
      </c>
      <c r="W3" s="4"/>
      <c r="X3" s="8"/>
      <c r="Y3" s="7" t="s">
        <v>7</v>
      </c>
      <c r="Z3" s="4"/>
      <c r="AA3" s="8"/>
      <c r="AB3" s="7" t="s">
        <v>8</v>
      </c>
      <c r="AC3" s="4"/>
      <c r="AD3" s="8"/>
      <c r="AE3" s="7" t="s">
        <v>9</v>
      </c>
      <c r="AF3" s="4"/>
      <c r="AG3" s="8"/>
      <c r="AH3" s="7" t="s">
        <v>10</v>
      </c>
      <c r="AI3" s="4"/>
      <c r="AJ3" s="8"/>
      <c r="AK3" s="7" t="s">
        <v>11</v>
      </c>
      <c r="AL3" s="4"/>
      <c r="AM3" s="8"/>
      <c r="AN3" s="7" t="s">
        <v>12</v>
      </c>
      <c r="AO3" s="4"/>
      <c r="AP3" s="8"/>
      <c r="AQ3" s="7" t="s">
        <v>13</v>
      </c>
      <c r="AR3" s="4"/>
      <c r="AS3" s="8"/>
      <c r="AT3" s="7" t="s">
        <v>14</v>
      </c>
      <c r="AU3" s="4"/>
      <c r="AV3" s="8"/>
      <c r="AW3" s="7" t="s">
        <v>15</v>
      </c>
      <c r="AX3" s="4"/>
      <c r="AY3" s="8"/>
      <c r="AZ3" s="7" t="s">
        <v>16</v>
      </c>
      <c r="BA3" s="4"/>
      <c r="BB3" s="8"/>
      <c r="BC3" s="7" t="s">
        <v>17</v>
      </c>
      <c r="BD3" s="4"/>
      <c r="BE3" s="8"/>
      <c r="BF3" s="7" t="s">
        <v>18</v>
      </c>
      <c r="BG3" s="4"/>
      <c r="BH3" s="8"/>
      <c r="BI3" s="7" t="s">
        <v>19</v>
      </c>
      <c r="BJ3" s="4"/>
      <c r="BK3" s="8"/>
      <c r="BL3" s="7" t="s">
        <v>20</v>
      </c>
      <c r="BM3" s="4"/>
      <c r="BN3" s="8"/>
      <c r="BO3" s="7" t="s">
        <v>21</v>
      </c>
      <c r="BP3" s="4"/>
      <c r="BQ3" s="8"/>
      <c r="BR3" s="7" t="s">
        <v>22</v>
      </c>
      <c r="BS3" s="4"/>
      <c r="BT3" s="8"/>
      <c r="BU3" s="7" t="s">
        <v>23</v>
      </c>
      <c r="BV3" s="4"/>
    </row>
    <row r="4" ht="42.0" customHeight="1">
      <c r="A4" s="1"/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10" t="s">
        <v>32</v>
      </c>
      <c r="K4" s="10" t="s">
        <v>33</v>
      </c>
      <c r="L4" s="8"/>
      <c r="M4" s="10" t="s">
        <v>32</v>
      </c>
      <c r="N4" s="10" t="s">
        <v>33</v>
      </c>
      <c r="O4" s="8"/>
      <c r="P4" s="10" t="s">
        <v>32</v>
      </c>
      <c r="Q4" s="10" t="s">
        <v>33</v>
      </c>
      <c r="R4" s="8"/>
      <c r="S4" s="10" t="s">
        <v>32</v>
      </c>
      <c r="T4" s="10" t="s">
        <v>33</v>
      </c>
      <c r="U4" s="8"/>
      <c r="V4" s="10" t="s">
        <v>32</v>
      </c>
      <c r="W4" s="10" t="s">
        <v>33</v>
      </c>
      <c r="X4" s="8"/>
      <c r="Y4" s="10" t="s">
        <v>32</v>
      </c>
      <c r="Z4" s="10" t="s">
        <v>33</v>
      </c>
      <c r="AA4" s="8"/>
      <c r="AB4" s="10" t="s">
        <v>32</v>
      </c>
      <c r="AC4" s="10" t="s">
        <v>33</v>
      </c>
      <c r="AD4" s="8"/>
      <c r="AE4" s="10" t="s">
        <v>32</v>
      </c>
      <c r="AF4" s="10" t="s">
        <v>33</v>
      </c>
      <c r="AG4" s="8"/>
      <c r="AH4" s="10" t="s">
        <v>32</v>
      </c>
      <c r="AI4" s="10" t="s">
        <v>33</v>
      </c>
      <c r="AJ4" s="8"/>
      <c r="AK4" s="10" t="s">
        <v>32</v>
      </c>
      <c r="AL4" s="10" t="s">
        <v>33</v>
      </c>
      <c r="AM4" s="8"/>
      <c r="AN4" s="10" t="s">
        <v>32</v>
      </c>
      <c r="AO4" s="10" t="s">
        <v>33</v>
      </c>
      <c r="AP4" s="8"/>
      <c r="AQ4" s="10" t="s">
        <v>32</v>
      </c>
      <c r="AR4" s="10" t="s">
        <v>33</v>
      </c>
      <c r="AS4" s="8"/>
      <c r="AT4" s="10" t="s">
        <v>32</v>
      </c>
      <c r="AU4" s="10" t="s">
        <v>33</v>
      </c>
      <c r="AV4" s="8"/>
      <c r="AW4" s="10" t="s">
        <v>32</v>
      </c>
      <c r="AX4" s="10" t="s">
        <v>33</v>
      </c>
      <c r="AY4" s="8"/>
      <c r="AZ4" s="10" t="s">
        <v>32</v>
      </c>
      <c r="BA4" s="10" t="s">
        <v>33</v>
      </c>
      <c r="BB4" s="8"/>
      <c r="BC4" s="10" t="s">
        <v>32</v>
      </c>
      <c r="BD4" s="10" t="s">
        <v>33</v>
      </c>
      <c r="BE4" s="8"/>
      <c r="BF4" s="10" t="s">
        <v>32</v>
      </c>
      <c r="BG4" s="10" t="s">
        <v>33</v>
      </c>
      <c r="BH4" s="8"/>
      <c r="BI4" s="10" t="s">
        <v>32</v>
      </c>
      <c r="BJ4" s="10" t="s">
        <v>33</v>
      </c>
      <c r="BK4" s="8"/>
      <c r="BL4" s="10" t="s">
        <v>32</v>
      </c>
      <c r="BM4" s="10" t="s">
        <v>33</v>
      </c>
      <c r="BN4" s="8"/>
      <c r="BO4" s="10" t="s">
        <v>32</v>
      </c>
      <c r="BP4" s="10" t="s">
        <v>33</v>
      </c>
      <c r="BQ4" s="8"/>
      <c r="BR4" s="10" t="s">
        <v>32</v>
      </c>
      <c r="BS4" s="10" t="s">
        <v>33</v>
      </c>
      <c r="BT4" s="8"/>
      <c r="BU4" s="10" t="s">
        <v>32</v>
      </c>
      <c r="BV4" s="10" t="s">
        <v>33</v>
      </c>
    </row>
    <row r="5" ht="30.0" customHeight="1">
      <c r="A5" s="1"/>
      <c r="B5" s="11" t="s">
        <v>34</v>
      </c>
      <c r="C5" s="12" t="s">
        <v>35</v>
      </c>
      <c r="D5" s="13" t="s">
        <v>36</v>
      </c>
      <c r="E5" s="14" t="s">
        <v>37</v>
      </c>
      <c r="F5" s="14" t="s">
        <v>38</v>
      </c>
      <c r="G5" s="14" t="s">
        <v>39</v>
      </c>
      <c r="H5" s="14" t="s">
        <v>40</v>
      </c>
      <c r="I5" s="14">
        <v>3.0</v>
      </c>
      <c r="J5" s="15"/>
      <c r="K5" s="15">
        <v>3.0</v>
      </c>
      <c r="L5" s="16"/>
      <c r="M5" s="15"/>
      <c r="N5" s="15"/>
      <c r="O5" s="16"/>
      <c r="P5" s="15"/>
      <c r="Q5" s="15"/>
      <c r="R5" s="16"/>
      <c r="S5" s="15"/>
      <c r="T5" s="15"/>
      <c r="U5" s="16"/>
      <c r="V5" s="15"/>
      <c r="W5" s="15"/>
      <c r="X5" s="16"/>
      <c r="Y5" s="15"/>
      <c r="Z5" s="15"/>
      <c r="AA5" s="16"/>
      <c r="AB5" s="15"/>
      <c r="AC5" s="15"/>
      <c r="AD5" s="16"/>
      <c r="AE5" s="15"/>
      <c r="AF5" s="15"/>
      <c r="AG5" s="16"/>
      <c r="AH5" s="15"/>
      <c r="AI5" s="15"/>
      <c r="AJ5" s="16"/>
      <c r="AK5" s="15"/>
      <c r="AL5" s="15"/>
      <c r="AM5" s="16"/>
      <c r="AN5" s="15"/>
      <c r="AO5" s="15"/>
      <c r="AP5" s="16"/>
      <c r="AQ5" s="15"/>
      <c r="AR5" s="15"/>
      <c r="AS5" s="16"/>
      <c r="AT5" s="15"/>
      <c r="AU5" s="15"/>
      <c r="AV5" s="16"/>
      <c r="AW5" s="15"/>
      <c r="AX5" s="15"/>
      <c r="AY5" s="16"/>
      <c r="AZ5" s="15"/>
      <c r="BA5" s="15"/>
      <c r="BB5" s="16"/>
      <c r="BC5" s="15"/>
      <c r="BD5" s="15"/>
      <c r="BE5" s="16"/>
      <c r="BF5" s="15"/>
      <c r="BG5" s="15"/>
      <c r="BH5" s="16"/>
      <c r="BI5" s="15"/>
      <c r="BJ5" s="15"/>
      <c r="BK5" s="16"/>
      <c r="BL5" s="15"/>
      <c r="BM5" s="15"/>
      <c r="BN5" s="16"/>
      <c r="BO5" s="15"/>
      <c r="BP5" s="15"/>
      <c r="BQ5" s="16"/>
      <c r="BR5" s="15"/>
      <c r="BS5" s="15"/>
      <c r="BT5" s="16"/>
      <c r="BU5" s="15">
        <f t="shared" ref="BU5:BU17" si="1">SUM(J5,M5,P5,S5,V5,Y5,AB5,AE5,AH5,AK5,AN5,AQ5,AT5,AW5,AZ5,BC5,BF5,BI5,BL5,BO5,BR5)</f>
        <v>0</v>
      </c>
      <c r="BV5" s="15" t="str">
        <f t="shared" ref="BV5:BV17" si="2">BS5</f>
        <v/>
      </c>
    </row>
    <row r="6" ht="30.0" customHeight="1">
      <c r="A6" s="1"/>
      <c r="B6" s="17"/>
      <c r="C6" s="18"/>
      <c r="D6" s="19" t="s">
        <v>41</v>
      </c>
      <c r="E6" s="20" t="s">
        <v>42</v>
      </c>
      <c r="F6" s="20" t="s">
        <v>38</v>
      </c>
      <c r="G6" s="20" t="s">
        <v>43</v>
      </c>
      <c r="H6" s="20" t="s">
        <v>40</v>
      </c>
      <c r="I6" s="20">
        <v>5.0</v>
      </c>
      <c r="J6" s="21"/>
      <c r="K6" s="21">
        <v>5.0</v>
      </c>
      <c r="L6" s="16"/>
      <c r="M6" s="21"/>
      <c r="N6" s="21"/>
      <c r="O6" s="16"/>
      <c r="P6" s="21"/>
      <c r="Q6" s="21"/>
      <c r="R6" s="16"/>
      <c r="S6" s="21"/>
      <c r="T6" s="21"/>
      <c r="U6" s="16"/>
      <c r="V6" s="21"/>
      <c r="W6" s="21"/>
      <c r="X6" s="16"/>
      <c r="Y6" s="21"/>
      <c r="Z6" s="21"/>
      <c r="AA6" s="16"/>
      <c r="AB6" s="21"/>
      <c r="AC6" s="21"/>
      <c r="AD6" s="16"/>
      <c r="AE6" s="21"/>
      <c r="AF6" s="21"/>
      <c r="AG6" s="16"/>
      <c r="AH6" s="21"/>
      <c r="AI6" s="21"/>
      <c r="AJ6" s="16"/>
      <c r="AK6" s="21"/>
      <c r="AL6" s="21"/>
      <c r="AM6" s="16"/>
      <c r="AN6" s="21"/>
      <c r="AO6" s="21"/>
      <c r="AP6" s="16"/>
      <c r="AQ6" s="21"/>
      <c r="AR6" s="21"/>
      <c r="AS6" s="16"/>
      <c r="AT6" s="21"/>
      <c r="AU6" s="21"/>
      <c r="AV6" s="16"/>
      <c r="AW6" s="21"/>
      <c r="AX6" s="21"/>
      <c r="AY6" s="16"/>
      <c r="AZ6" s="21"/>
      <c r="BA6" s="21"/>
      <c r="BB6" s="16"/>
      <c r="BC6" s="21"/>
      <c r="BD6" s="21"/>
      <c r="BE6" s="16"/>
      <c r="BF6" s="21"/>
      <c r="BG6" s="21"/>
      <c r="BH6" s="16"/>
      <c r="BI6" s="21"/>
      <c r="BJ6" s="21"/>
      <c r="BK6" s="16"/>
      <c r="BL6" s="21"/>
      <c r="BM6" s="21"/>
      <c r="BN6" s="16"/>
      <c r="BO6" s="21"/>
      <c r="BP6" s="21"/>
      <c r="BQ6" s="16"/>
      <c r="BR6" s="21"/>
      <c r="BS6" s="21"/>
      <c r="BT6" s="16"/>
      <c r="BU6" s="21">
        <f t="shared" si="1"/>
        <v>0</v>
      </c>
      <c r="BV6" s="21" t="str">
        <f t="shared" si="2"/>
        <v/>
      </c>
    </row>
    <row r="7" ht="30.0" customHeight="1">
      <c r="A7" s="1"/>
      <c r="B7" s="17"/>
      <c r="C7" s="18"/>
      <c r="D7" s="22" t="s">
        <v>44</v>
      </c>
      <c r="E7" s="14" t="s">
        <v>42</v>
      </c>
      <c r="F7" s="14" t="s">
        <v>38</v>
      </c>
      <c r="G7" s="14" t="s">
        <v>45</v>
      </c>
      <c r="H7" s="14" t="s">
        <v>40</v>
      </c>
      <c r="I7" s="14">
        <v>3.0</v>
      </c>
      <c r="J7" s="15"/>
      <c r="K7" s="15">
        <v>3.0</v>
      </c>
      <c r="L7" s="16"/>
      <c r="M7" s="15"/>
      <c r="N7" s="15"/>
      <c r="O7" s="16"/>
      <c r="P7" s="15"/>
      <c r="Q7" s="15"/>
      <c r="R7" s="16"/>
      <c r="S7" s="15"/>
      <c r="T7" s="15"/>
      <c r="U7" s="16"/>
      <c r="V7" s="15"/>
      <c r="W7" s="15"/>
      <c r="X7" s="16"/>
      <c r="Y7" s="15"/>
      <c r="Z7" s="15"/>
      <c r="AA7" s="16"/>
      <c r="AB7" s="15"/>
      <c r="AC7" s="15"/>
      <c r="AD7" s="16"/>
      <c r="AE7" s="15"/>
      <c r="AF7" s="15"/>
      <c r="AG7" s="16"/>
      <c r="AH7" s="15"/>
      <c r="AI7" s="15"/>
      <c r="AJ7" s="16"/>
      <c r="AK7" s="15"/>
      <c r="AL7" s="15"/>
      <c r="AM7" s="16"/>
      <c r="AN7" s="15"/>
      <c r="AO7" s="15"/>
      <c r="AP7" s="16"/>
      <c r="AQ7" s="15"/>
      <c r="AR7" s="15"/>
      <c r="AS7" s="16"/>
      <c r="AT7" s="15"/>
      <c r="AU7" s="15"/>
      <c r="AV7" s="16"/>
      <c r="AW7" s="15"/>
      <c r="AX7" s="15"/>
      <c r="AY7" s="16"/>
      <c r="AZ7" s="15"/>
      <c r="BA7" s="15"/>
      <c r="BB7" s="16"/>
      <c r="BC7" s="15"/>
      <c r="BD7" s="15"/>
      <c r="BE7" s="16"/>
      <c r="BF7" s="15"/>
      <c r="BG7" s="15"/>
      <c r="BH7" s="16"/>
      <c r="BI7" s="15"/>
      <c r="BJ7" s="15"/>
      <c r="BK7" s="16"/>
      <c r="BL7" s="15"/>
      <c r="BM7" s="15"/>
      <c r="BN7" s="16"/>
      <c r="BO7" s="15"/>
      <c r="BP7" s="15"/>
      <c r="BQ7" s="16"/>
      <c r="BR7" s="15"/>
      <c r="BS7" s="15"/>
      <c r="BT7" s="16"/>
      <c r="BU7" s="15">
        <f t="shared" si="1"/>
        <v>0</v>
      </c>
      <c r="BV7" s="15" t="str">
        <f t="shared" si="2"/>
        <v/>
      </c>
    </row>
    <row r="8" ht="30.0" customHeight="1">
      <c r="A8" s="1"/>
      <c r="B8" s="17" t="s">
        <v>46</v>
      </c>
      <c r="C8" s="23" t="s">
        <v>47</v>
      </c>
      <c r="D8" s="19" t="s">
        <v>48</v>
      </c>
      <c r="E8" s="20" t="s">
        <v>42</v>
      </c>
      <c r="F8" s="20" t="s">
        <v>38</v>
      </c>
      <c r="G8" s="20" t="s">
        <v>45</v>
      </c>
      <c r="H8" s="20" t="s">
        <v>40</v>
      </c>
      <c r="I8" s="20">
        <v>4.0</v>
      </c>
      <c r="J8" s="21"/>
      <c r="K8" s="21">
        <v>4.0</v>
      </c>
      <c r="L8" s="16"/>
      <c r="M8" s="21"/>
      <c r="N8" s="21"/>
      <c r="O8" s="16"/>
      <c r="P8" s="21"/>
      <c r="Q8" s="21"/>
      <c r="R8" s="16"/>
      <c r="S8" s="21"/>
      <c r="T8" s="21"/>
      <c r="U8" s="16"/>
      <c r="V8" s="21"/>
      <c r="W8" s="21"/>
      <c r="X8" s="16"/>
      <c r="Y8" s="21"/>
      <c r="Z8" s="21"/>
      <c r="AA8" s="16"/>
      <c r="AB8" s="21"/>
      <c r="AC8" s="21"/>
      <c r="AD8" s="16"/>
      <c r="AE8" s="21"/>
      <c r="AF8" s="21"/>
      <c r="AG8" s="16"/>
      <c r="AH8" s="21"/>
      <c r="AI8" s="21"/>
      <c r="AJ8" s="16"/>
      <c r="AK8" s="21"/>
      <c r="AL8" s="21"/>
      <c r="AM8" s="16"/>
      <c r="AN8" s="21"/>
      <c r="AO8" s="21"/>
      <c r="AP8" s="16"/>
      <c r="AQ8" s="21"/>
      <c r="AR8" s="21"/>
      <c r="AS8" s="16"/>
      <c r="AT8" s="21"/>
      <c r="AU8" s="21"/>
      <c r="AV8" s="16"/>
      <c r="AW8" s="21"/>
      <c r="AX8" s="21"/>
      <c r="AY8" s="16"/>
      <c r="AZ8" s="21"/>
      <c r="BA8" s="21"/>
      <c r="BB8" s="16"/>
      <c r="BC8" s="21"/>
      <c r="BD8" s="21"/>
      <c r="BE8" s="16"/>
      <c r="BF8" s="21"/>
      <c r="BG8" s="21"/>
      <c r="BH8" s="16"/>
      <c r="BI8" s="21"/>
      <c r="BJ8" s="21"/>
      <c r="BK8" s="16"/>
      <c r="BL8" s="21"/>
      <c r="BM8" s="21"/>
      <c r="BN8" s="16"/>
      <c r="BO8" s="21"/>
      <c r="BP8" s="21"/>
      <c r="BQ8" s="16"/>
      <c r="BR8" s="21"/>
      <c r="BS8" s="21"/>
      <c r="BT8" s="16"/>
      <c r="BU8" s="21">
        <f t="shared" si="1"/>
        <v>0</v>
      </c>
      <c r="BV8" s="21" t="str">
        <f t="shared" si="2"/>
        <v/>
      </c>
    </row>
    <row r="9" ht="30.0" customHeight="1">
      <c r="A9" s="1"/>
      <c r="B9" s="17"/>
      <c r="C9" s="18"/>
      <c r="D9" s="22" t="s">
        <v>49</v>
      </c>
      <c r="E9" s="14" t="s">
        <v>37</v>
      </c>
      <c r="F9" s="14" t="s">
        <v>38</v>
      </c>
      <c r="G9" s="14" t="s">
        <v>50</v>
      </c>
      <c r="H9" s="14" t="s">
        <v>40</v>
      </c>
      <c r="I9" s="14">
        <v>3.0</v>
      </c>
      <c r="J9" s="15"/>
      <c r="K9" s="15">
        <v>3.0</v>
      </c>
      <c r="L9" s="16"/>
      <c r="M9" s="15"/>
      <c r="N9" s="15"/>
      <c r="O9" s="16"/>
      <c r="P9" s="15"/>
      <c r="Q9" s="15"/>
      <c r="R9" s="16"/>
      <c r="S9" s="15"/>
      <c r="T9" s="15"/>
      <c r="U9" s="16"/>
      <c r="V9" s="15"/>
      <c r="W9" s="15"/>
      <c r="X9" s="16"/>
      <c r="Y9" s="15"/>
      <c r="Z9" s="15"/>
      <c r="AA9" s="16"/>
      <c r="AB9" s="15"/>
      <c r="AC9" s="15"/>
      <c r="AD9" s="16"/>
      <c r="AE9" s="15"/>
      <c r="AF9" s="15"/>
      <c r="AG9" s="16"/>
      <c r="AH9" s="15"/>
      <c r="AI9" s="15"/>
      <c r="AJ9" s="16"/>
      <c r="AK9" s="15"/>
      <c r="AL9" s="15"/>
      <c r="AM9" s="16"/>
      <c r="AN9" s="15"/>
      <c r="AO9" s="15"/>
      <c r="AP9" s="16"/>
      <c r="AQ9" s="15"/>
      <c r="AR9" s="15"/>
      <c r="AS9" s="16"/>
      <c r="AT9" s="15"/>
      <c r="AU9" s="15"/>
      <c r="AV9" s="16"/>
      <c r="AW9" s="15"/>
      <c r="AX9" s="15"/>
      <c r="AY9" s="16"/>
      <c r="AZ9" s="15"/>
      <c r="BA9" s="15"/>
      <c r="BB9" s="16"/>
      <c r="BC9" s="15"/>
      <c r="BD9" s="15"/>
      <c r="BE9" s="16"/>
      <c r="BF9" s="15"/>
      <c r="BG9" s="15"/>
      <c r="BH9" s="16"/>
      <c r="BI9" s="15"/>
      <c r="BJ9" s="15"/>
      <c r="BK9" s="16"/>
      <c r="BL9" s="15"/>
      <c r="BM9" s="15"/>
      <c r="BN9" s="16"/>
      <c r="BO9" s="15"/>
      <c r="BP9" s="15"/>
      <c r="BQ9" s="16"/>
      <c r="BR9" s="15"/>
      <c r="BS9" s="15"/>
      <c r="BT9" s="16"/>
      <c r="BU9" s="15">
        <f t="shared" si="1"/>
        <v>0</v>
      </c>
      <c r="BV9" s="15" t="str">
        <f t="shared" si="2"/>
        <v/>
      </c>
    </row>
    <row r="10" ht="30.0" customHeight="1">
      <c r="A10" s="1"/>
      <c r="B10" s="17" t="s">
        <v>51</v>
      </c>
      <c r="C10" s="23" t="s">
        <v>52</v>
      </c>
      <c r="D10" s="19" t="s">
        <v>53</v>
      </c>
      <c r="E10" s="20" t="s">
        <v>37</v>
      </c>
      <c r="F10" s="20" t="s">
        <v>38</v>
      </c>
      <c r="G10" s="20" t="s">
        <v>54</v>
      </c>
      <c r="H10" s="20" t="s">
        <v>40</v>
      </c>
      <c r="I10" s="20">
        <v>6.0</v>
      </c>
      <c r="J10" s="21"/>
      <c r="K10" s="21">
        <v>6.0</v>
      </c>
      <c r="L10" s="16"/>
      <c r="M10" s="21"/>
      <c r="N10" s="21"/>
      <c r="O10" s="16"/>
      <c r="P10" s="21"/>
      <c r="Q10" s="21"/>
      <c r="R10" s="16"/>
      <c r="S10" s="21"/>
      <c r="T10" s="21"/>
      <c r="U10" s="16"/>
      <c r="V10" s="21"/>
      <c r="W10" s="21"/>
      <c r="X10" s="16"/>
      <c r="Y10" s="21"/>
      <c r="Z10" s="21"/>
      <c r="AA10" s="16"/>
      <c r="AB10" s="21"/>
      <c r="AC10" s="21"/>
      <c r="AD10" s="16"/>
      <c r="AE10" s="21"/>
      <c r="AF10" s="21"/>
      <c r="AG10" s="16"/>
      <c r="AH10" s="21"/>
      <c r="AI10" s="21"/>
      <c r="AJ10" s="16"/>
      <c r="AK10" s="21"/>
      <c r="AL10" s="21"/>
      <c r="AM10" s="16"/>
      <c r="AN10" s="21"/>
      <c r="AO10" s="21"/>
      <c r="AP10" s="16"/>
      <c r="AQ10" s="21"/>
      <c r="AR10" s="21"/>
      <c r="AS10" s="16"/>
      <c r="AT10" s="21"/>
      <c r="AU10" s="21"/>
      <c r="AV10" s="16"/>
      <c r="AW10" s="21"/>
      <c r="AX10" s="21"/>
      <c r="AY10" s="16"/>
      <c r="AZ10" s="21"/>
      <c r="BA10" s="21"/>
      <c r="BB10" s="16"/>
      <c r="BC10" s="21"/>
      <c r="BD10" s="21"/>
      <c r="BE10" s="16"/>
      <c r="BF10" s="21"/>
      <c r="BG10" s="21"/>
      <c r="BH10" s="16"/>
      <c r="BI10" s="21"/>
      <c r="BJ10" s="21"/>
      <c r="BK10" s="16"/>
      <c r="BL10" s="21"/>
      <c r="BM10" s="21"/>
      <c r="BN10" s="16"/>
      <c r="BO10" s="21"/>
      <c r="BP10" s="21"/>
      <c r="BQ10" s="16"/>
      <c r="BR10" s="21"/>
      <c r="BS10" s="21"/>
      <c r="BT10" s="16"/>
      <c r="BU10" s="21">
        <f t="shared" si="1"/>
        <v>0</v>
      </c>
      <c r="BV10" s="21" t="str">
        <f t="shared" si="2"/>
        <v/>
      </c>
    </row>
    <row r="11" ht="30.0" customHeight="1">
      <c r="A11" s="1"/>
      <c r="B11" s="17"/>
      <c r="C11" s="18"/>
      <c r="D11" s="22" t="s">
        <v>55</v>
      </c>
      <c r="E11" s="14" t="s">
        <v>37</v>
      </c>
      <c r="F11" s="14" t="s">
        <v>38</v>
      </c>
      <c r="G11" s="14" t="s">
        <v>56</v>
      </c>
      <c r="H11" s="14" t="s">
        <v>40</v>
      </c>
      <c r="I11" s="14">
        <v>4.0</v>
      </c>
      <c r="J11" s="15"/>
      <c r="K11" s="15">
        <v>4.0</v>
      </c>
      <c r="L11" s="16"/>
      <c r="M11" s="15"/>
      <c r="N11" s="15"/>
      <c r="O11" s="16"/>
      <c r="P11" s="15"/>
      <c r="Q11" s="15"/>
      <c r="R11" s="16"/>
      <c r="S11" s="15"/>
      <c r="T11" s="15"/>
      <c r="U11" s="16"/>
      <c r="V11" s="15"/>
      <c r="W11" s="15"/>
      <c r="X11" s="16"/>
      <c r="Y11" s="15"/>
      <c r="Z11" s="15"/>
      <c r="AA11" s="16"/>
      <c r="AB11" s="15"/>
      <c r="AC11" s="15"/>
      <c r="AD11" s="16"/>
      <c r="AE11" s="15"/>
      <c r="AF11" s="15"/>
      <c r="AG11" s="16"/>
      <c r="AH11" s="15"/>
      <c r="AI11" s="15"/>
      <c r="AJ11" s="16"/>
      <c r="AK11" s="15"/>
      <c r="AL11" s="15"/>
      <c r="AM11" s="16"/>
      <c r="AN11" s="15"/>
      <c r="AO11" s="15"/>
      <c r="AP11" s="16"/>
      <c r="AQ11" s="15"/>
      <c r="AR11" s="15"/>
      <c r="AS11" s="16"/>
      <c r="AT11" s="15"/>
      <c r="AU11" s="15"/>
      <c r="AV11" s="16"/>
      <c r="AW11" s="15"/>
      <c r="AX11" s="15"/>
      <c r="AY11" s="16"/>
      <c r="AZ11" s="15"/>
      <c r="BA11" s="15"/>
      <c r="BB11" s="16"/>
      <c r="BC11" s="15"/>
      <c r="BD11" s="15"/>
      <c r="BE11" s="16"/>
      <c r="BF11" s="15"/>
      <c r="BG11" s="15"/>
      <c r="BH11" s="16"/>
      <c r="BI11" s="15"/>
      <c r="BJ11" s="15"/>
      <c r="BK11" s="16"/>
      <c r="BL11" s="15"/>
      <c r="BM11" s="15"/>
      <c r="BN11" s="16"/>
      <c r="BO11" s="15"/>
      <c r="BP11" s="15"/>
      <c r="BQ11" s="16"/>
      <c r="BR11" s="15"/>
      <c r="BS11" s="15"/>
      <c r="BT11" s="16"/>
      <c r="BU11" s="15">
        <f t="shared" si="1"/>
        <v>0</v>
      </c>
      <c r="BV11" s="15" t="str">
        <f t="shared" si="2"/>
        <v/>
      </c>
    </row>
    <row r="12" ht="30.0" customHeight="1">
      <c r="A12" s="1"/>
      <c r="B12" s="24" t="s">
        <v>57</v>
      </c>
      <c r="C12" s="25" t="s">
        <v>58</v>
      </c>
      <c r="D12" s="19" t="s">
        <v>59</v>
      </c>
      <c r="E12" s="20" t="s">
        <v>37</v>
      </c>
      <c r="F12" s="20" t="s">
        <v>38</v>
      </c>
      <c r="G12" s="20" t="s">
        <v>60</v>
      </c>
      <c r="H12" s="20" t="s">
        <v>40</v>
      </c>
      <c r="I12" s="20">
        <v>5.0</v>
      </c>
      <c r="J12" s="21"/>
      <c r="K12" s="21">
        <v>5.0</v>
      </c>
      <c r="L12" s="16"/>
      <c r="M12" s="21"/>
      <c r="N12" s="21"/>
      <c r="O12" s="16"/>
      <c r="P12" s="21"/>
      <c r="Q12" s="21"/>
      <c r="R12" s="16"/>
      <c r="S12" s="21"/>
      <c r="T12" s="21"/>
      <c r="U12" s="16"/>
      <c r="V12" s="21"/>
      <c r="W12" s="21"/>
      <c r="X12" s="16"/>
      <c r="Y12" s="21"/>
      <c r="Z12" s="21"/>
      <c r="AA12" s="16"/>
      <c r="AB12" s="21"/>
      <c r="AC12" s="21"/>
      <c r="AD12" s="16"/>
      <c r="AE12" s="21"/>
      <c r="AF12" s="21"/>
      <c r="AG12" s="16"/>
      <c r="AH12" s="21"/>
      <c r="AI12" s="21"/>
      <c r="AJ12" s="16"/>
      <c r="AK12" s="21"/>
      <c r="AL12" s="21"/>
      <c r="AM12" s="16"/>
      <c r="AN12" s="21"/>
      <c r="AO12" s="21"/>
      <c r="AP12" s="16"/>
      <c r="AQ12" s="21"/>
      <c r="AR12" s="21"/>
      <c r="AS12" s="16"/>
      <c r="AT12" s="21"/>
      <c r="AU12" s="21"/>
      <c r="AV12" s="16"/>
      <c r="AW12" s="21"/>
      <c r="AX12" s="21"/>
      <c r="AY12" s="16"/>
      <c r="AZ12" s="21"/>
      <c r="BA12" s="21"/>
      <c r="BB12" s="16"/>
      <c r="BC12" s="21"/>
      <c r="BD12" s="21"/>
      <c r="BE12" s="16"/>
      <c r="BF12" s="21"/>
      <c r="BG12" s="21"/>
      <c r="BH12" s="16"/>
      <c r="BI12" s="21"/>
      <c r="BJ12" s="21"/>
      <c r="BK12" s="16"/>
      <c r="BL12" s="21"/>
      <c r="BM12" s="21"/>
      <c r="BN12" s="16"/>
      <c r="BO12" s="21"/>
      <c r="BP12" s="21"/>
      <c r="BQ12" s="16"/>
      <c r="BR12" s="21"/>
      <c r="BS12" s="21"/>
      <c r="BT12" s="16"/>
      <c r="BU12" s="21">
        <f t="shared" si="1"/>
        <v>0</v>
      </c>
      <c r="BV12" s="21" t="str">
        <f t="shared" si="2"/>
        <v/>
      </c>
    </row>
    <row r="13" ht="30.0" customHeight="1">
      <c r="A13" s="1"/>
      <c r="B13" s="24"/>
      <c r="C13" s="22"/>
      <c r="D13" s="22" t="s">
        <v>61</v>
      </c>
      <c r="E13" s="14" t="s">
        <v>37</v>
      </c>
      <c r="F13" s="14" t="s">
        <v>38</v>
      </c>
      <c r="G13" s="14" t="s">
        <v>62</v>
      </c>
      <c r="H13" s="14" t="s">
        <v>40</v>
      </c>
      <c r="I13" s="14">
        <v>4.0</v>
      </c>
      <c r="J13" s="15"/>
      <c r="K13" s="15">
        <v>4.0</v>
      </c>
      <c r="L13" s="16"/>
      <c r="M13" s="15"/>
      <c r="N13" s="15"/>
      <c r="O13" s="16"/>
      <c r="P13" s="15"/>
      <c r="Q13" s="15"/>
      <c r="R13" s="16"/>
      <c r="S13" s="15"/>
      <c r="T13" s="15"/>
      <c r="U13" s="16"/>
      <c r="V13" s="15"/>
      <c r="W13" s="15"/>
      <c r="X13" s="16"/>
      <c r="Y13" s="15"/>
      <c r="Z13" s="15"/>
      <c r="AA13" s="16"/>
      <c r="AB13" s="15"/>
      <c r="AC13" s="15"/>
      <c r="AD13" s="16"/>
      <c r="AE13" s="15"/>
      <c r="AF13" s="15"/>
      <c r="AG13" s="16"/>
      <c r="AH13" s="15"/>
      <c r="AI13" s="15"/>
      <c r="AJ13" s="16"/>
      <c r="AK13" s="15"/>
      <c r="AL13" s="15"/>
      <c r="AM13" s="16"/>
      <c r="AN13" s="15"/>
      <c r="AO13" s="15"/>
      <c r="AP13" s="16"/>
      <c r="AQ13" s="15"/>
      <c r="AR13" s="15"/>
      <c r="AS13" s="16"/>
      <c r="AT13" s="15"/>
      <c r="AU13" s="15"/>
      <c r="AV13" s="16"/>
      <c r="AW13" s="15"/>
      <c r="AX13" s="15"/>
      <c r="AY13" s="16"/>
      <c r="AZ13" s="15"/>
      <c r="BA13" s="15"/>
      <c r="BB13" s="16"/>
      <c r="BC13" s="15"/>
      <c r="BD13" s="15"/>
      <c r="BE13" s="16"/>
      <c r="BF13" s="15"/>
      <c r="BG13" s="15"/>
      <c r="BH13" s="16"/>
      <c r="BI13" s="15"/>
      <c r="BJ13" s="15"/>
      <c r="BK13" s="16"/>
      <c r="BL13" s="15"/>
      <c r="BM13" s="15"/>
      <c r="BN13" s="16"/>
      <c r="BO13" s="15"/>
      <c r="BP13" s="15"/>
      <c r="BQ13" s="16"/>
      <c r="BR13" s="15"/>
      <c r="BS13" s="15"/>
      <c r="BT13" s="16"/>
      <c r="BU13" s="15">
        <f t="shared" si="1"/>
        <v>0</v>
      </c>
      <c r="BV13" s="15" t="str">
        <f t="shared" si="2"/>
        <v/>
      </c>
    </row>
    <row r="14" ht="30.0" customHeight="1">
      <c r="A14" s="1"/>
      <c r="B14" s="24"/>
      <c r="C14" s="22"/>
      <c r="D14" s="19" t="s">
        <v>63</v>
      </c>
      <c r="E14" s="20" t="s">
        <v>64</v>
      </c>
      <c r="F14" s="20" t="s">
        <v>38</v>
      </c>
      <c r="G14" s="20" t="s">
        <v>65</v>
      </c>
      <c r="H14" s="20" t="s">
        <v>40</v>
      </c>
      <c r="I14" s="20">
        <v>3.0</v>
      </c>
      <c r="J14" s="21"/>
      <c r="K14" s="21">
        <v>3.0</v>
      </c>
      <c r="L14" s="16"/>
      <c r="M14" s="21"/>
      <c r="N14" s="21"/>
      <c r="O14" s="16"/>
      <c r="P14" s="21"/>
      <c r="Q14" s="21"/>
      <c r="R14" s="16"/>
      <c r="S14" s="21"/>
      <c r="T14" s="21"/>
      <c r="U14" s="16"/>
      <c r="V14" s="21"/>
      <c r="W14" s="21"/>
      <c r="X14" s="16"/>
      <c r="Y14" s="21"/>
      <c r="Z14" s="21"/>
      <c r="AA14" s="16"/>
      <c r="AB14" s="21"/>
      <c r="AC14" s="21"/>
      <c r="AD14" s="16"/>
      <c r="AE14" s="21"/>
      <c r="AF14" s="21"/>
      <c r="AG14" s="16"/>
      <c r="AH14" s="21"/>
      <c r="AI14" s="21"/>
      <c r="AJ14" s="16"/>
      <c r="AK14" s="21"/>
      <c r="AL14" s="21"/>
      <c r="AM14" s="16"/>
      <c r="AN14" s="21"/>
      <c r="AO14" s="21"/>
      <c r="AP14" s="16"/>
      <c r="AQ14" s="21"/>
      <c r="AR14" s="21"/>
      <c r="AS14" s="16"/>
      <c r="AT14" s="21"/>
      <c r="AU14" s="21"/>
      <c r="AV14" s="16"/>
      <c r="AW14" s="21"/>
      <c r="AX14" s="21"/>
      <c r="AY14" s="16"/>
      <c r="AZ14" s="21"/>
      <c r="BA14" s="21"/>
      <c r="BB14" s="16"/>
      <c r="BC14" s="21"/>
      <c r="BD14" s="21"/>
      <c r="BE14" s="16"/>
      <c r="BF14" s="21"/>
      <c r="BG14" s="21"/>
      <c r="BH14" s="16"/>
      <c r="BI14" s="21"/>
      <c r="BJ14" s="21"/>
      <c r="BK14" s="16"/>
      <c r="BL14" s="21"/>
      <c r="BM14" s="21"/>
      <c r="BN14" s="16"/>
      <c r="BO14" s="21"/>
      <c r="BP14" s="21"/>
      <c r="BQ14" s="16"/>
      <c r="BR14" s="21"/>
      <c r="BS14" s="21"/>
      <c r="BT14" s="16"/>
      <c r="BU14" s="21">
        <f t="shared" si="1"/>
        <v>0</v>
      </c>
      <c r="BV14" s="21" t="str">
        <f t="shared" si="2"/>
        <v/>
      </c>
    </row>
    <row r="15" ht="30.0" customHeight="1">
      <c r="A15" s="1"/>
      <c r="B15" s="24" t="s">
        <v>66</v>
      </c>
      <c r="C15" s="25" t="s">
        <v>67</v>
      </c>
      <c r="D15" s="22" t="s">
        <v>68</v>
      </c>
      <c r="E15" s="14" t="s">
        <v>42</v>
      </c>
      <c r="F15" s="14" t="s">
        <v>38</v>
      </c>
      <c r="G15" s="14" t="s">
        <v>60</v>
      </c>
      <c r="H15" s="14" t="s">
        <v>40</v>
      </c>
      <c r="I15" s="14">
        <v>5.0</v>
      </c>
      <c r="J15" s="15"/>
      <c r="K15" s="15">
        <v>5.0</v>
      </c>
      <c r="L15" s="16"/>
      <c r="M15" s="15"/>
      <c r="N15" s="15"/>
      <c r="O15" s="16"/>
      <c r="P15" s="15"/>
      <c r="Q15" s="15"/>
      <c r="R15" s="16"/>
      <c r="S15" s="15"/>
      <c r="T15" s="15"/>
      <c r="U15" s="16"/>
      <c r="V15" s="15"/>
      <c r="W15" s="15"/>
      <c r="X15" s="16"/>
      <c r="Y15" s="15"/>
      <c r="Z15" s="15"/>
      <c r="AA15" s="16"/>
      <c r="AB15" s="15"/>
      <c r="AC15" s="15"/>
      <c r="AD15" s="16"/>
      <c r="AE15" s="15"/>
      <c r="AF15" s="15"/>
      <c r="AG15" s="16"/>
      <c r="AH15" s="15"/>
      <c r="AI15" s="15"/>
      <c r="AJ15" s="16"/>
      <c r="AK15" s="15"/>
      <c r="AL15" s="15"/>
      <c r="AM15" s="16"/>
      <c r="AN15" s="15"/>
      <c r="AO15" s="15"/>
      <c r="AP15" s="16"/>
      <c r="AQ15" s="15"/>
      <c r="AR15" s="15"/>
      <c r="AS15" s="16"/>
      <c r="AT15" s="15"/>
      <c r="AU15" s="15"/>
      <c r="AV15" s="16"/>
      <c r="AW15" s="15"/>
      <c r="AX15" s="15"/>
      <c r="AY15" s="16"/>
      <c r="AZ15" s="15"/>
      <c r="BA15" s="15"/>
      <c r="BB15" s="16"/>
      <c r="BC15" s="15"/>
      <c r="BD15" s="15"/>
      <c r="BE15" s="16"/>
      <c r="BF15" s="15"/>
      <c r="BG15" s="15"/>
      <c r="BH15" s="16"/>
      <c r="BI15" s="15"/>
      <c r="BJ15" s="15"/>
      <c r="BK15" s="16"/>
      <c r="BL15" s="15"/>
      <c r="BM15" s="15"/>
      <c r="BN15" s="16"/>
      <c r="BO15" s="15"/>
      <c r="BP15" s="15"/>
      <c r="BQ15" s="16"/>
      <c r="BR15" s="15"/>
      <c r="BS15" s="15"/>
      <c r="BT15" s="16"/>
      <c r="BU15" s="15">
        <f t="shared" si="1"/>
        <v>0</v>
      </c>
      <c r="BV15" s="15" t="str">
        <f t="shared" si="2"/>
        <v/>
      </c>
    </row>
    <row r="16" ht="30.0" customHeight="1">
      <c r="A16" s="1"/>
      <c r="B16" s="24"/>
      <c r="C16" s="22"/>
      <c r="D16" s="19" t="s">
        <v>69</v>
      </c>
      <c r="E16" s="20" t="s">
        <v>37</v>
      </c>
      <c r="F16" s="20" t="s">
        <v>38</v>
      </c>
      <c r="G16" s="20" t="s">
        <v>70</v>
      </c>
      <c r="H16" s="20" t="s">
        <v>40</v>
      </c>
      <c r="I16" s="20">
        <v>4.0</v>
      </c>
      <c r="J16" s="21"/>
      <c r="K16" s="21">
        <v>4.0</v>
      </c>
      <c r="L16" s="16"/>
      <c r="M16" s="21"/>
      <c r="N16" s="21"/>
      <c r="O16" s="16"/>
      <c r="P16" s="21"/>
      <c r="Q16" s="21"/>
      <c r="R16" s="16"/>
      <c r="S16" s="21"/>
      <c r="T16" s="21"/>
      <c r="U16" s="16"/>
      <c r="V16" s="21"/>
      <c r="W16" s="21"/>
      <c r="X16" s="16"/>
      <c r="Y16" s="21"/>
      <c r="Z16" s="21"/>
      <c r="AA16" s="16"/>
      <c r="AB16" s="21"/>
      <c r="AC16" s="21"/>
      <c r="AD16" s="16"/>
      <c r="AE16" s="21"/>
      <c r="AF16" s="21"/>
      <c r="AG16" s="16"/>
      <c r="AH16" s="21"/>
      <c r="AI16" s="21"/>
      <c r="AJ16" s="16"/>
      <c r="AK16" s="21"/>
      <c r="AL16" s="21"/>
      <c r="AM16" s="16"/>
      <c r="AN16" s="21"/>
      <c r="AO16" s="21"/>
      <c r="AP16" s="16"/>
      <c r="AQ16" s="21"/>
      <c r="AR16" s="21"/>
      <c r="AS16" s="16"/>
      <c r="AT16" s="21"/>
      <c r="AU16" s="21"/>
      <c r="AV16" s="16"/>
      <c r="AW16" s="21"/>
      <c r="AX16" s="21"/>
      <c r="AY16" s="16"/>
      <c r="AZ16" s="21"/>
      <c r="BA16" s="21"/>
      <c r="BB16" s="16"/>
      <c r="BC16" s="21"/>
      <c r="BD16" s="21"/>
      <c r="BE16" s="16"/>
      <c r="BF16" s="21"/>
      <c r="BG16" s="21"/>
      <c r="BH16" s="16"/>
      <c r="BI16" s="21"/>
      <c r="BJ16" s="21"/>
      <c r="BK16" s="16"/>
      <c r="BL16" s="21"/>
      <c r="BM16" s="21"/>
      <c r="BN16" s="16"/>
      <c r="BO16" s="21"/>
      <c r="BP16" s="21"/>
      <c r="BQ16" s="16"/>
      <c r="BR16" s="21"/>
      <c r="BS16" s="21"/>
      <c r="BT16" s="16"/>
      <c r="BU16" s="21">
        <f t="shared" si="1"/>
        <v>0</v>
      </c>
      <c r="BV16" s="21" t="str">
        <f t="shared" si="2"/>
        <v/>
      </c>
    </row>
    <row r="17" ht="30.0" customHeight="1">
      <c r="A17" s="1"/>
      <c r="B17" s="24"/>
      <c r="C17" s="22"/>
      <c r="D17" s="22" t="s">
        <v>71</v>
      </c>
      <c r="E17" s="14" t="s">
        <v>64</v>
      </c>
      <c r="F17" s="14" t="s">
        <v>38</v>
      </c>
      <c r="G17" s="14" t="s">
        <v>72</v>
      </c>
      <c r="H17" s="14" t="s">
        <v>40</v>
      </c>
      <c r="I17" s="14">
        <v>3.0</v>
      </c>
      <c r="J17" s="15"/>
      <c r="K17" s="15">
        <v>3.0</v>
      </c>
      <c r="L17" s="16"/>
      <c r="M17" s="15"/>
      <c r="N17" s="15"/>
      <c r="O17" s="16"/>
      <c r="P17" s="15"/>
      <c r="Q17" s="15"/>
      <c r="R17" s="16"/>
      <c r="S17" s="15"/>
      <c r="T17" s="15"/>
      <c r="U17" s="16"/>
      <c r="V17" s="15"/>
      <c r="W17" s="15"/>
      <c r="X17" s="16"/>
      <c r="Y17" s="15"/>
      <c r="Z17" s="15"/>
      <c r="AA17" s="16"/>
      <c r="AB17" s="15"/>
      <c r="AC17" s="15"/>
      <c r="AD17" s="16"/>
      <c r="AE17" s="15"/>
      <c r="AF17" s="15"/>
      <c r="AG17" s="16"/>
      <c r="AH17" s="15"/>
      <c r="AI17" s="15"/>
      <c r="AJ17" s="16"/>
      <c r="AK17" s="15"/>
      <c r="AL17" s="15"/>
      <c r="AM17" s="16"/>
      <c r="AN17" s="15"/>
      <c r="AO17" s="15"/>
      <c r="AP17" s="16"/>
      <c r="AQ17" s="15"/>
      <c r="AR17" s="15"/>
      <c r="AS17" s="16"/>
      <c r="AT17" s="15"/>
      <c r="AU17" s="15"/>
      <c r="AV17" s="16"/>
      <c r="AW17" s="15"/>
      <c r="AX17" s="15"/>
      <c r="AY17" s="16"/>
      <c r="AZ17" s="15"/>
      <c r="BA17" s="15"/>
      <c r="BB17" s="16"/>
      <c r="BC17" s="15"/>
      <c r="BD17" s="15"/>
      <c r="BE17" s="16"/>
      <c r="BF17" s="15"/>
      <c r="BG17" s="15"/>
      <c r="BH17" s="16"/>
      <c r="BI17" s="15"/>
      <c r="BJ17" s="15"/>
      <c r="BK17" s="16"/>
      <c r="BL17" s="15"/>
      <c r="BM17" s="15"/>
      <c r="BN17" s="16"/>
      <c r="BO17" s="15"/>
      <c r="BP17" s="15"/>
      <c r="BQ17" s="16"/>
      <c r="BR17" s="15"/>
      <c r="BS17" s="15"/>
      <c r="BT17" s="16"/>
      <c r="BU17" s="15">
        <f t="shared" si="1"/>
        <v>0</v>
      </c>
      <c r="BV17" s="15" t="str">
        <f t="shared" si="2"/>
        <v/>
      </c>
    </row>
    <row r="18" ht="15.75" customHeight="1">
      <c r="A18" s="1"/>
      <c r="B18" s="26" t="s">
        <v>73</v>
      </c>
      <c r="C18" s="27"/>
      <c r="D18" s="28" t="s">
        <v>74</v>
      </c>
      <c r="E18" s="29"/>
      <c r="F18" s="29"/>
      <c r="G18" s="29"/>
      <c r="H18" s="27"/>
      <c r="I18" s="30">
        <f t="shared" ref="I18:K18" si="3">SUM(I5:I17)</f>
        <v>52</v>
      </c>
      <c r="J18" s="31">
        <f t="shared" si="3"/>
        <v>0</v>
      </c>
      <c r="K18" s="31">
        <f t="shared" si="3"/>
        <v>52</v>
      </c>
      <c r="L18" s="16"/>
      <c r="M18" s="31">
        <f t="shared" ref="M18:N18" si="4">SUM(M5:M17)</f>
        <v>0</v>
      </c>
      <c r="N18" s="31">
        <f t="shared" si="4"/>
        <v>0</v>
      </c>
      <c r="O18" s="16"/>
      <c r="P18" s="31">
        <f t="shared" ref="P18:Q18" si="5">SUM(P5:P17)</f>
        <v>0</v>
      </c>
      <c r="Q18" s="31">
        <f t="shared" si="5"/>
        <v>0</v>
      </c>
      <c r="R18" s="16"/>
      <c r="S18" s="31">
        <f t="shared" ref="S18:T18" si="6">SUM(S5:S17)</f>
        <v>0</v>
      </c>
      <c r="T18" s="31">
        <f t="shared" si="6"/>
        <v>0</v>
      </c>
      <c r="U18" s="16"/>
      <c r="V18" s="31">
        <f t="shared" ref="V18:W18" si="7">SUM(V5:V17)</f>
        <v>0</v>
      </c>
      <c r="W18" s="31">
        <f t="shared" si="7"/>
        <v>0</v>
      </c>
      <c r="X18" s="16"/>
      <c r="Y18" s="31">
        <f t="shared" ref="Y18:Z18" si="8">SUM(Y5:Y17)</f>
        <v>0</v>
      </c>
      <c r="Z18" s="31">
        <f t="shared" si="8"/>
        <v>0</v>
      </c>
      <c r="AA18" s="16"/>
      <c r="AB18" s="31">
        <f t="shared" ref="AB18:AC18" si="9">SUM(AB5:AB17)</f>
        <v>0</v>
      </c>
      <c r="AC18" s="31">
        <f t="shared" si="9"/>
        <v>0</v>
      </c>
      <c r="AD18" s="16"/>
      <c r="AE18" s="31">
        <f t="shared" ref="AE18:AF18" si="10">SUM(AE5:AE17)</f>
        <v>0</v>
      </c>
      <c r="AF18" s="31">
        <f t="shared" si="10"/>
        <v>0</v>
      </c>
      <c r="AG18" s="16"/>
      <c r="AH18" s="31">
        <f t="shared" ref="AH18:AI18" si="11">SUM(AH5:AH17)</f>
        <v>0</v>
      </c>
      <c r="AI18" s="31">
        <f t="shared" si="11"/>
        <v>0</v>
      </c>
      <c r="AJ18" s="16"/>
      <c r="AK18" s="31">
        <f t="shared" ref="AK18:AL18" si="12">SUM(AK5:AK17)</f>
        <v>0</v>
      </c>
      <c r="AL18" s="31">
        <f t="shared" si="12"/>
        <v>0</v>
      </c>
      <c r="AM18" s="16"/>
      <c r="AN18" s="31">
        <f t="shared" ref="AN18:AO18" si="13">SUM(AN5:AN17)</f>
        <v>0</v>
      </c>
      <c r="AO18" s="31">
        <f t="shared" si="13"/>
        <v>0</v>
      </c>
      <c r="AP18" s="16"/>
      <c r="AQ18" s="31">
        <f t="shared" ref="AQ18:AR18" si="14">SUM(AQ5:AQ17)</f>
        <v>0</v>
      </c>
      <c r="AR18" s="31">
        <f t="shared" si="14"/>
        <v>0</v>
      </c>
      <c r="AS18" s="16"/>
      <c r="AT18" s="31">
        <f t="shared" ref="AT18:AU18" si="15">SUM(AT5:AT17)</f>
        <v>0</v>
      </c>
      <c r="AU18" s="31">
        <f t="shared" si="15"/>
        <v>0</v>
      </c>
      <c r="AV18" s="16"/>
      <c r="AW18" s="31">
        <f t="shared" ref="AW18:AX18" si="16">SUM(AW5:AW17)</f>
        <v>0</v>
      </c>
      <c r="AX18" s="31">
        <f t="shared" si="16"/>
        <v>0</v>
      </c>
      <c r="AY18" s="16"/>
      <c r="AZ18" s="31">
        <f t="shared" ref="AZ18:BA18" si="17">SUM(AZ5:AZ17)</f>
        <v>0</v>
      </c>
      <c r="BA18" s="31">
        <f t="shared" si="17"/>
        <v>0</v>
      </c>
      <c r="BB18" s="16"/>
      <c r="BC18" s="31">
        <f t="shared" ref="BC18:BD18" si="18">SUM(BC5:BC17)</f>
        <v>0</v>
      </c>
      <c r="BD18" s="31">
        <f t="shared" si="18"/>
        <v>0</v>
      </c>
      <c r="BE18" s="16"/>
      <c r="BF18" s="31">
        <f t="shared" ref="BF18:BG18" si="19">SUM(BF5:BF17)</f>
        <v>0</v>
      </c>
      <c r="BG18" s="31">
        <f t="shared" si="19"/>
        <v>0</v>
      </c>
      <c r="BH18" s="16"/>
      <c r="BI18" s="31">
        <f t="shared" ref="BI18:BJ18" si="20">SUM(BI5:BI17)</f>
        <v>0</v>
      </c>
      <c r="BJ18" s="31">
        <f t="shared" si="20"/>
        <v>0</v>
      </c>
      <c r="BK18" s="16"/>
      <c r="BL18" s="31">
        <f t="shared" ref="BL18:BM18" si="21">SUM(BL5:BL17)</f>
        <v>0</v>
      </c>
      <c r="BM18" s="31">
        <f t="shared" si="21"/>
        <v>0</v>
      </c>
      <c r="BN18" s="16"/>
      <c r="BO18" s="31">
        <f t="shared" ref="BO18:BP18" si="22">SUM(BO5:BO17)</f>
        <v>0</v>
      </c>
      <c r="BP18" s="31">
        <f t="shared" si="22"/>
        <v>0</v>
      </c>
      <c r="BQ18" s="16"/>
      <c r="BR18" s="31">
        <f t="shared" ref="BR18:BS18" si="23">SUM(BR5:BR17)</f>
        <v>0</v>
      </c>
      <c r="BS18" s="31">
        <f t="shared" si="23"/>
        <v>0</v>
      </c>
      <c r="BT18" s="16"/>
      <c r="BU18" s="31">
        <f t="shared" ref="BU18:BV18" si="24">SUM(BU5:BU17)</f>
        <v>0</v>
      </c>
      <c r="BV18" s="31">
        <f t="shared" si="24"/>
        <v>0</v>
      </c>
    </row>
    <row r="19" ht="30.0" customHeight="1">
      <c r="A19" s="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</row>
    <row r="20" ht="30.0" customHeight="1">
      <c r="A20" s="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</row>
    <row r="21" ht="30.0" customHeight="1">
      <c r="A21" s="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</row>
    <row r="22" ht="30.0" customHeight="1">
      <c r="A22" s="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</row>
    <row r="23" ht="30.0" customHeight="1">
      <c r="A23" s="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</row>
    <row r="24" ht="30.0" customHeight="1">
      <c r="A24" s="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</row>
    <row r="25" ht="30.0" customHeight="1">
      <c r="A25" s="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</row>
    <row r="26" ht="15.75" customHeight="1">
      <c r="A26" s="1"/>
      <c r="B26" s="32"/>
      <c r="C26" s="33"/>
      <c r="D26" s="32"/>
      <c r="E26" s="34"/>
      <c r="F26" s="34"/>
      <c r="G26" s="34"/>
      <c r="H26" s="33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</row>
  </sheetData>
  <mergeCells count="26">
    <mergeCell ref="BO3:BP3"/>
    <mergeCell ref="BR3:BS3"/>
    <mergeCell ref="B1:BV1"/>
    <mergeCell ref="B2:BV2"/>
    <mergeCell ref="J3:K3"/>
    <mergeCell ref="M3:N3"/>
    <mergeCell ref="P3:Q3"/>
    <mergeCell ref="S3:T3"/>
    <mergeCell ref="V3:W3"/>
    <mergeCell ref="BU3:BV3"/>
    <mergeCell ref="Y3:Z3"/>
    <mergeCell ref="AB3:AC3"/>
    <mergeCell ref="B18:C18"/>
    <mergeCell ref="D18:H18"/>
    <mergeCell ref="AE3:AF3"/>
    <mergeCell ref="AH3:AI3"/>
    <mergeCell ref="AK3:AL3"/>
    <mergeCell ref="AN3:AO3"/>
    <mergeCell ref="AQ3:AR3"/>
    <mergeCell ref="AT3:AU3"/>
    <mergeCell ref="AW3:AX3"/>
    <mergeCell ref="AZ3:BA3"/>
    <mergeCell ref="BC3:BD3"/>
    <mergeCell ref="BF3:BG3"/>
    <mergeCell ref="BI3:BJ3"/>
    <mergeCell ref="BL3:BM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80.0"/>
    <col customWidth="1" min="4" max="6" width="8.71"/>
  </cols>
  <sheetData>
    <row r="1">
      <c r="A1" s="1"/>
      <c r="B1" s="35" t="s">
        <v>75</v>
      </c>
      <c r="C1" s="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36" t="s">
        <v>76</v>
      </c>
      <c r="C2" s="37" t="s">
        <v>77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4.5" customHeight="1">
      <c r="A3" s="1"/>
      <c r="B3" s="38" t="s">
        <v>78</v>
      </c>
      <c r="C3" s="39" t="s">
        <v>79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4.5" customHeight="1">
      <c r="A4" s="1"/>
      <c r="B4" s="40" t="s">
        <v>80</v>
      </c>
      <c r="C4" s="41" t="s">
        <v>81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4.5" customHeight="1">
      <c r="A5" s="1"/>
      <c r="B5" s="38" t="s">
        <v>26</v>
      </c>
      <c r="C5" s="39" t="s">
        <v>82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4.5" customHeight="1">
      <c r="A6" s="1"/>
      <c r="B6" s="40" t="s">
        <v>27</v>
      </c>
      <c r="C6" s="41" t="s">
        <v>83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4.5" customHeight="1">
      <c r="A7" s="1"/>
      <c r="B7" s="38" t="s">
        <v>28</v>
      </c>
      <c r="C7" s="39" t="s">
        <v>84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4.5" customHeight="1">
      <c r="A8" s="1"/>
      <c r="B8" s="40" t="s">
        <v>29</v>
      </c>
      <c r="C8" s="41" t="s">
        <v>85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4.5" customHeight="1">
      <c r="A9" s="1"/>
      <c r="B9" s="38" t="s">
        <v>30</v>
      </c>
      <c r="C9" s="39" t="s">
        <v>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4.5" customHeight="1">
      <c r="A10" s="1"/>
      <c r="B10" s="40" t="s">
        <v>31</v>
      </c>
      <c r="C10" s="41" t="s">
        <v>87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4.5" customHeight="1">
      <c r="A11" s="1"/>
      <c r="B11" s="38" t="s">
        <v>88</v>
      </c>
      <c r="C11" s="39" t="s">
        <v>89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4.5" customHeight="1">
      <c r="A12" s="1"/>
      <c r="B12" s="40" t="s">
        <v>90</v>
      </c>
      <c r="C12" s="41" t="s">
        <v>91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4.5" customHeight="1">
      <c r="A13" s="1"/>
      <c r="B13" s="38" t="s">
        <v>92</v>
      </c>
      <c r="C13" s="39" t="s">
        <v>93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4.5" customHeight="1">
      <c r="A14" s="1"/>
      <c r="B14" s="40" t="s">
        <v>94</v>
      </c>
      <c r="C14" s="41" t="s">
        <v>95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C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2026-04-23T06:13:39Z</dcterms:created>
  <dc:creator>openpyxl</dc:creator>
</cp:coreProperties>
</file>