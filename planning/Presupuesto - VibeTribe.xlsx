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beTribe" sheetId="1" r:id="rId4"/>
  </sheets>
  <definedNames/>
  <calcPr/>
  <extLst>
    <ext uri="GoogleSheetsCustomDataVersion2">
      <go:sheetsCustomData xmlns:go="http://customooxmlschemas.google.com/" r:id="rId5" roundtripDataChecksum="EH/F+hhQrkxisZ91g9dRHcw6jnQ8FbMPW17RpHCY7gk="/>
    </ext>
  </extLst>
</workbook>
</file>

<file path=xl/sharedStrings.xml><?xml version="1.0" encoding="utf-8"?>
<sst xmlns="http://schemas.openxmlformats.org/spreadsheetml/2006/main" count="95" uniqueCount="80">
  <si>
    <t>PRESUPUESTO DEL PROYECTO</t>
  </si>
  <si>
    <t>Nombre del Proyecto</t>
  </si>
  <si>
    <t>Vibe Tribe - Aplicación Móvil de Viajes Colaborativos</t>
  </si>
  <si>
    <t>Departamento</t>
  </si>
  <si>
    <t>Ingeniería de Sistemas y Computación</t>
  </si>
  <si>
    <t>Directora / PM</t>
  </si>
  <si>
    <t>Katlyn Galvis Rodríguez</t>
  </si>
  <si>
    <t>Mano de Obra</t>
  </si>
  <si>
    <t>Otros Costos</t>
  </si>
  <si>
    <t>Costos Presupuestados</t>
  </si>
  <si>
    <t>Costos Reales</t>
  </si>
  <si>
    <t>BALANCE</t>
  </si>
  <si>
    <t>EDT</t>
  </si>
  <si>
    <t>Tarea / Entregable</t>
  </si>
  <si>
    <t>Responsable(s)</t>
  </si>
  <si>
    <t>HH Planeadas</t>
  </si>
  <si>
    <t>HH Reales</t>
  </si>
  <si>
    <t>Costo/Hora (COP)</t>
  </si>
  <si>
    <t>Costo MO Planeado</t>
  </si>
  <si>
    <t>Costo MO Real</t>
  </si>
  <si>
    <t>Costo Oportunidad</t>
  </si>
  <si>
    <t>Costos Hundidos</t>
  </si>
  <si>
    <t>Costos Variables</t>
  </si>
  <si>
    <t>Costos Fijos</t>
  </si>
  <si>
    <t>Costos Directos</t>
  </si>
  <si>
    <t>Costos Indirectos</t>
  </si>
  <si>
    <t>Costos Calidad</t>
  </si>
  <si>
    <t>Reserva Gestión</t>
  </si>
  <si>
    <t>Costo Presupuestado</t>
  </si>
  <si>
    <t>Costo Real</t>
  </si>
  <si>
    <t>Balance (+/-)</t>
  </si>
  <si>
    <t>1</t>
  </si>
  <si>
    <t>FASE 1: GESTION Y DISEÑO</t>
  </si>
  <si>
    <t>1.1</t>
  </si>
  <si>
    <t>Diseño UX/UI Prototipos (Figma)</t>
  </si>
  <si>
    <t>Diego Aguirre</t>
  </si>
  <si>
    <t>1.2</t>
  </si>
  <si>
    <t>Configuración AWS y Repositorios</t>
  </si>
  <si>
    <t>Camilo Arias</t>
  </si>
  <si>
    <t>1.3</t>
  </si>
  <si>
    <t>Definición de Criterios de Aceptación</t>
  </si>
  <si>
    <t>Juan José Albornoz</t>
  </si>
  <si>
    <t>1.4</t>
  </si>
  <si>
    <t>Configuración CI/CD (GitHub Actions)</t>
  </si>
  <si>
    <t>Katlyn Galvis</t>
  </si>
  <si>
    <t>2</t>
  </si>
  <si>
    <t>FASE 2: EJECUCIÓN DE SPRINTS</t>
  </si>
  <si>
    <t>2.1</t>
  </si>
  <si>
    <t xml:space="preserve">Sprint 1: Módulo Autenticación </t>
  </si>
  <si>
    <t>Camilo Arias / Juan José Albornoz/ Diego Aguirre</t>
  </si>
  <si>
    <t>2.2</t>
  </si>
  <si>
    <t>Sprint 2: Módulo Paquetes de Viaje</t>
  </si>
  <si>
    <t>2.3</t>
  </si>
  <si>
    <t>Sprint 3: Módulo Comunidad e Inscripciones</t>
  </si>
  <si>
    <t>2.4</t>
  </si>
  <si>
    <t>Sprint 4: Módulo Moderación y Feedback</t>
  </si>
  <si>
    <t>DESPLIEGUE Y CIERRE</t>
  </si>
  <si>
    <t>Pruebas de integración y estres</t>
  </si>
  <si>
    <t>Corrección de errores (bug fixing)</t>
  </si>
  <si>
    <t>Camilo Arias / Juan José Albornoz</t>
  </si>
  <si>
    <t>Despliegue en AWS (Producción)</t>
  </si>
  <si>
    <t>Capacitación y Manuales</t>
  </si>
  <si>
    <t>Cierre Administrativo</t>
  </si>
  <si>
    <t>GESTIÓN DEL PROYECTO</t>
  </si>
  <si>
    <t>Gestión, planificación y reportes (PO)</t>
  </si>
  <si>
    <t>Ceremonias Scrum (Dailies, Plannings, Retros)</t>
  </si>
  <si>
    <t>Todo el equipo</t>
  </si>
  <si>
    <t>Documentación técnica y de proyecto</t>
  </si>
  <si>
    <t>TOTALES DEL PROYECTO</t>
  </si>
  <si>
    <t>LEYENDA DE TIPOS DE COSTO</t>
  </si>
  <si>
    <t>Costo de Oportunidad</t>
  </si>
  <si>
    <t>Valor del beneficio sacrificado por usar el recurso en este proyecto (ej. retorno esperado del tiempo de los ingenieros en otro proyecto comercial).</t>
  </si>
  <si>
    <t>Costos ya incurridos e irrecuperables al momento de la decisión (ej. licencias app stores pagadas antes del inicio formal).</t>
  </si>
  <si>
    <t>Varían con el uso: consumo AWS EC2/RDS por horas de operación, datos transferidos, almacenamiento S3.</t>
  </si>
  <si>
    <t>No cambian con el volumen de producción dentro del período del proyecto. En VibeTribe no se identificaron costos fijos independientes significativos.</t>
  </si>
  <si>
    <t>Asociados directamente a una actividad EDT: mano de obra de desarrollo, infraestructura cloud por módulo, licencias de herramientas.</t>
  </si>
  <si>
    <t>No atribuibles a una sola tarea pero necesarios: servicios AWS compartidos entre módulos, costos de app stores comunes a todos los entregables.</t>
  </si>
  <si>
    <t>Actividades de aseguramiento y control de calidad: ejecución de pruebas con JMeter, Vitest/Playwright, revisiones de seguridad.</t>
  </si>
  <si>
    <t>Reserva de Gestión</t>
  </si>
  <si>
    <t>10% del costo base de M.O. e infraestructura; bajo control de la Directora del Proyecto. Se activa ante variación CPI/SPI &lt; 0.8.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</si>
</sst>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"/>
    <numFmt numFmtId="165" formatCode="_(\$* #,##0.00_);_(\$* \(#,##0.00\);_(\$* \-??_);_(@_)"/>
    <numFmt numFmtId="166" formatCode="0.0"/>
    <numFmt numFmtId="167" formatCode="_(* #,##0.00_);_(* \(#,##0.00\);_(* \-??_);_(@_)"/>
    <numFmt numFmtId="168" formatCode="#,##0;\(#,##0\);\-"/>
    <numFmt numFmtId="169" formatCode="\$#,##0.00_);&quot;($&quot;#,##0.00\)"/>
    <numFmt numFmtId="170" formatCode="d.m"/>
  </numFmts>
  <fonts count="14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b/>
      <sz val="10.0"/>
      <color theme="0"/>
      <name val="Calibri"/>
    </font>
    <font>
      <b/>
      <sz val="9.0"/>
      <color rgb="FFFFFFFF"/>
      <name val="Arial"/>
    </font>
    <font>
      <b/>
      <sz val="8.0"/>
      <color rgb="FFFFFFFF"/>
      <name val="Arial"/>
    </font>
    <font>
      <sz val="9.0"/>
      <color rgb="FF000000"/>
      <name val="Arial"/>
    </font>
    <font>
      <sz val="9.0"/>
      <color rgb="FF000088"/>
      <name val="Arial"/>
    </font>
    <font>
      <b/>
      <sz val="9.0"/>
      <color rgb="FF1F3864"/>
      <name val="Arial"/>
    </font>
    <font>
      <b/>
      <sz val="8.0"/>
      <color rgb="FF000000"/>
      <name val="Arial"/>
    </font>
    <font>
      <sz val="8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F6B26B"/>
        <bgColor rgb="FFF6B26B"/>
      </patternFill>
    </fill>
    <fill>
      <patternFill patternType="solid">
        <fgColor rgb="FFF3F3F3"/>
        <bgColor rgb="FFF3F3F3"/>
      </patternFill>
    </fill>
  </fills>
  <borders count="23">
    <border/>
    <border>
      <left/>
      <top/>
    </border>
    <border>
      <top/>
    </border>
    <border>
      <right/>
      <top/>
    </border>
    <border>
      <left/>
      <right/>
      <top/>
      <bottom/>
    </border>
    <border>
      <left style="thin">
        <color rgb="FFE69138"/>
      </left>
      <right style="thin">
        <color rgb="FFE69138"/>
      </right>
      <top style="thin">
        <color rgb="FFE69138"/>
      </top>
      <bottom style="thin">
        <color rgb="FFE69138"/>
      </bottom>
    </border>
    <border>
      <left style="thin">
        <color rgb="FFE69138"/>
      </left>
      <top style="thin">
        <color rgb="FFE69138"/>
      </top>
      <bottom style="thin">
        <color rgb="FFE69138"/>
      </bottom>
    </border>
    <border>
      <right style="thin">
        <color rgb="FFE69138"/>
      </right>
      <top style="thin">
        <color rgb="FFE69138"/>
      </top>
      <bottom style="thin">
        <color rgb="FFE69138"/>
      </bottom>
    </border>
    <border>
      <right/>
      <top/>
      <bottom/>
    </border>
    <border>
      <left/>
      <right/>
    </border>
    <border>
      <left/>
    </border>
    <border>
      <right/>
    </border>
    <border>
      <left/>
      <right/>
      <top/>
      <bottom style="thin">
        <color rgb="FFC0C0C0"/>
      </bottom>
    </border>
    <border>
      <left/>
      <right/>
      <bottom style="thin">
        <color rgb="FFC0C0C0"/>
      </bottom>
    </border>
    <border>
      <left/>
      <bottom style="thin">
        <color rgb="FFC0C0C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shrinkToFit="0" vertical="bottom" wrapText="0"/>
    </xf>
    <xf borderId="5" fillId="4" fontId="4" numFmtId="0" xfId="0" applyAlignment="1" applyBorder="1" applyFill="1" applyFont="1">
      <alignment horizontal="left" shrinkToFit="0" vertical="center" wrapText="0"/>
    </xf>
    <xf borderId="6" fillId="0" fontId="5" numFmtId="0" xfId="0" applyAlignment="1" applyBorder="1" applyFont="1">
      <alignment horizontal="right" readingOrder="0" shrinkToFit="0" vertical="bottom" wrapText="0"/>
    </xf>
    <xf borderId="7" fillId="0" fontId="2" numFmtId="0" xfId="0" applyBorder="1" applyFont="1"/>
    <xf borderId="0" fillId="0" fontId="5" numFmtId="0" xfId="0" applyAlignment="1" applyFont="1">
      <alignment horizontal="center" shrinkToFit="0" vertical="bottom" wrapText="0"/>
    </xf>
    <xf borderId="8" fillId="3" fontId="3" numFmtId="0" xfId="0" applyAlignment="1" applyBorder="1" applyFont="1">
      <alignment shrinkToFit="0" vertical="bottom" wrapText="0"/>
    </xf>
    <xf borderId="6" fillId="3" fontId="5" numFmtId="0" xfId="0" applyAlignment="1" applyBorder="1" applyFont="1">
      <alignment horizontal="right"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horizontal="left" shrinkToFit="0" vertical="bottom" wrapText="0"/>
    </xf>
    <xf borderId="9" fillId="0" fontId="6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0" fillId="0" fontId="6" numFmtId="164" xfId="0" applyAlignment="1" applyBorder="1" applyFont="1" applyNumberFormat="1">
      <alignment horizontal="center" shrinkToFit="0" vertical="center" wrapText="0"/>
    </xf>
    <xf borderId="0" fillId="0" fontId="7" numFmtId="164" xfId="0" applyAlignment="1" applyFont="1" applyNumberFormat="1">
      <alignment horizontal="center" shrinkToFit="0" vertical="center" wrapText="1"/>
    </xf>
    <xf borderId="0" fillId="0" fontId="7" numFmtId="165" xfId="0" applyAlignment="1" applyFont="1" applyNumberFormat="1">
      <alignment horizontal="center" shrinkToFit="0" vertical="center" wrapText="1"/>
    </xf>
    <xf borderId="11" fillId="0" fontId="7" numFmtId="165" xfId="0" applyAlignment="1" applyBorder="1" applyFont="1" applyNumberForma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14" fillId="0" fontId="6" numFmtId="164" xfId="0" applyAlignment="1" applyBorder="1" applyFont="1" applyNumberFormat="1">
      <alignment horizontal="center" shrinkToFit="0" vertical="center" wrapText="0"/>
    </xf>
    <xf borderId="15" fillId="5" fontId="7" numFmtId="164" xfId="0" applyAlignment="1" applyBorder="1" applyFill="1" applyFont="1" applyNumberFormat="1">
      <alignment horizontal="center" shrinkToFit="0" vertical="center" wrapText="1"/>
    </xf>
    <xf borderId="16" fillId="0" fontId="2" numFmtId="0" xfId="0" applyBorder="1" applyFont="1"/>
    <xf borderId="17" fillId="0" fontId="2" numFmtId="0" xfId="0" applyBorder="1" applyFont="1"/>
    <xf borderId="18" fillId="5" fontId="7" numFmtId="165" xfId="0" applyAlignment="1" applyBorder="1" applyFont="1" applyNumberFormat="1">
      <alignment horizontal="center" shrinkToFit="0" vertical="center" wrapText="1"/>
    </xf>
    <xf borderId="19" fillId="2" fontId="8" numFmtId="166" xfId="0" applyAlignment="1" applyBorder="1" applyFont="1" applyNumberFormat="1">
      <alignment horizontal="center" shrinkToFit="0" vertical="center" wrapText="1"/>
    </xf>
    <xf borderId="19" fillId="2" fontId="8" numFmtId="0" xfId="0" applyAlignment="1" applyBorder="1" applyFont="1">
      <alignment horizontal="center" shrinkToFit="0" vertical="center" wrapText="1"/>
    </xf>
    <xf borderId="20" fillId="2" fontId="8" numFmtId="1" xfId="0" applyAlignment="1" applyBorder="1" applyFont="1" applyNumberFormat="1">
      <alignment horizontal="center" shrinkToFit="0" vertical="center" wrapText="1"/>
    </xf>
    <xf borderId="20" fillId="2" fontId="8" numFmtId="165" xfId="0" applyAlignment="1" applyBorder="1" applyFont="1" applyNumberFormat="1">
      <alignment horizontal="center" shrinkToFit="0" vertical="center" wrapText="1"/>
    </xf>
    <xf borderId="20" fillId="2" fontId="8" numFmtId="167" xfId="0" applyAlignment="1" applyBorder="1" applyFont="1" applyNumberFormat="1">
      <alignment horizontal="center" shrinkToFit="0" vertical="center" wrapText="1"/>
    </xf>
    <xf borderId="19" fillId="5" fontId="7" numFmtId="166" xfId="0" applyAlignment="1" applyBorder="1" applyFont="1" applyNumberFormat="1">
      <alignment horizontal="left" shrinkToFit="0" vertical="center" wrapText="1"/>
    </xf>
    <xf borderId="19" fillId="5" fontId="7" numFmtId="0" xfId="0" applyAlignment="1" applyBorder="1" applyFont="1">
      <alignment horizontal="left" readingOrder="0" shrinkToFit="0" vertical="center" wrapText="1"/>
    </xf>
    <xf borderId="19" fillId="5" fontId="7" numFmtId="0" xfId="0" applyAlignment="1" applyBorder="1" applyFont="1">
      <alignment horizontal="left" shrinkToFit="0" vertical="center" wrapText="1"/>
    </xf>
    <xf borderId="19" fillId="5" fontId="7" numFmtId="1" xfId="0" applyAlignment="1" applyBorder="1" applyFont="1" applyNumberFormat="1">
      <alignment horizontal="center" shrinkToFit="0" vertical="center" wrapText="1"/>
    </xf>
    <xf borderId="19" fillId="5" fontId="7" numFmtId="165" xfId="0" applyAlignment="1" applyBorder="1" applyFont="1" applyNumberFormat="1">
      <alignment horizontal="center" shrinkToFit="0" vertical="center" wrapText="1"/>
    </xf>
    <xf borderId="19" fillId="5" fontId="7" numFmtId="167" xfId="0" applyAlignment="1" applyBorder="1" applyFont="1" applyNumberFormat="1">
      <alignment horizontal="center" shrinkToFit="0" vertical="center" wrapText="1"/>
    </xf>
    <xf borderId="19" fillId="6" fontId="9" numFmtId="166" xfId="0" applyAlignment="1" applyBorder="1" applyFill="1" applyFont="1" applyNumberFormat="1">
      <alignment horizontal="left" shrinkToFit="0" vertical="center" wrapText="1"/>
    </xf>
    <xf borderId="19" fillId="6" fontId="9" numFmtId="0" xfId="0" applyAlignment="1" applyBorder="1" applyFont="1">
      <alignment horizontal="left" readingOrder="0" shrinkToFit="0" vertical="center" wrapText="1"/>
    </xf>
    <xf borderId="19" fillId="6" fontId="10" numFmtId="1" xfId="0" applyAlignment="1" applyBorder="1" applyFont="1" applyNumberFormat="1">
      <alignment horizontal="right" shrinkToFit="0" vertical="center" wrapText="1"/>
    </xf>
    <xf borderId="19" fillId="6" fontId="10" numFmtId="168" xfId="0" applyAlignment="1" applyBorder="1" applyFont="1" applyNumberFormat="1">
      <alignment horizontal="right" readingOrder="0" shrinkToFit="0" vertical="center" wrapText="1"/>
    </xf>
    <xf borderId="19" fillId="6" fontId="9" numFmtId="168" xfId="0" applyAlignment="1" applyBorder="1" applyFont="1" applyNumberFormat="1">
      <alignment horizontal="right" shrinkToFit="0" vertical="center" wrapText="1"/>
    </xf>
    <xf borderId="19" fillId="6" fontId="10" numFmtId="168" xfId="0" applyAlignment="1" applyBorder="1" applyFont="1" applyNumberFormat="1">
      <alignment horizontal="right" shrinkToFit="0" vertical="center" wrapText="1"/>
    </xf>
    <xf borderId="19" fillId="6" fontId="9" numFmtId="168" xfId="0" applyAlignment="1" applyBorder="1" applyFont="1" applyNumberFormat="1">
      <alignment horizontal="right" readingOrder="0" shrinkToFit="0" vertical="center" wrapText="1"/>
    </xf>
    <xf borderId="19" fillId="3" fontId="9" numFmtId="166" xfId="0" applyAlignment="1" applyBorder="1" applyFont="1" applyNumberFormat="1">
      <alignment horizontal="left" shrinkToFit="0" vertical="center" wrapText="1"/>
    </xf>
    <xf borderId="19" fillId="3" fontId="9" numFmtId="0" xfId="0" applyAlignment="1" applyBorder="1" applyFont="1">
      <alignment horizontal="left" readingOrder="0" shrinkToFit="0" vertical="center" wrapText="1"/>
    </xf>
    <xf borderId="19" fillId="3" fontId="10" numFmtId="1" xfId="0" applyAlignment="1" applyBorder="1" applyFont="1" applyNumberFormat="1">
      <alignment horizontal="right" shrinkToFit="0" vertical="center" wrapText="1"/>
    </xf>
    <xf borderId="19" fillId="3" fontId="10" numFmtId="168" xfId="0" applyAlignment="1" applyBorder="1" applyFont="1" applyNumberFormat="1">
      <alignment horizontal="right" readingOrder="0" shrinkToFit="0" vertical="center" wrapText="1"/>
    </xf>
    <xf borderId="19" fillId="3" fontId="9" numFmtId="168" xfId="0" applyAlignment="1" applyBorder="1" applyFont="1" applyNumberFormat="1">
      <alignment horizontal="right" shrinkToFit="0" vertical="center" wrapText="1"/>
    </xf>
    <xf borderId="19" fillId="3" fontId="10" numFmtId="168" xfId="0" applyAlignment="1" applyBorder="1" applyFont="1" applyNumberFormat="1">
      <alignment horizontal="right" shrinkToFit="0" vertical="center" wrapText="1"/>
    </xf>
    <xf borderId="19" fillId="3" fontId="9" numFmtId="168" xfId="0" applyAlignment="1" applyBorder="1" applyFont="1" applyNumberFormat="1">
      <alignment horizontal="right" readingOrder="0" shrinkToFit="0" vertical="center" wrapText="1"/>
    </xf>
    <xf borderId="19" fillId="5" fontId="7" numFmtId="0" xfId="0" applyAlignment="1" applyBorder="1" applyFont="1">
      <alignment horizontal="center" shrinkToFit="0" vertical="center" wrapText="1"/>
    </xf>
    <xf borderId="19" fillId="5" fontId="7" numFmtId="166" xfId="0" applyAlignment="1" applyBorder="1" applyFont="1" applyNumberFormat="1">
      <alignment horizontal="center" shrinkToFit="0" vertical="center" wrapText="1"/>
    </xf>
    <xf borderId="19" fillId="5" fontId="7" numFmtId="169" xfId="0" applyAlignment="1" applyBorder="1" applyFont="1" applyNumberFormat="1">
      <alignment horizontal="center" shrinkToFit="0" vertical="center" wrapText="1"/>
    </xf>
    <xf borderId="19" fillId="3" fontId="9" numFmtId="0" xfId="0" applyAlignment="1" applyBorder="1" applyFont="1">
      <alignment horizontal="left" shrinkToFit="0" vertical="center" wrapText="1"/>
    </xf>
    <xf borderId="19" fillId="3" fontId="10" numFmtId="0" xfId="0" applyAlignment="1" applyBorder="1" applyFont="1">
      <alignment horizontal="right" shrinkToFit="0" vertical="center" wrapText="1"/>
    </xf>
    <xf borderId="19" fillId="3" fontId="10" numFmtId="166" xfId="0" applyAlignment="1" applyBorder="1" applyFont="1" applyNumberFormat="1">
      <alignment horizontal="right" shrinkToFit="0" vertical="center" wrapText="1"/>
    </xf>
    <xf borderId="19" fillId="6" fontId="9" numFmtId="0" xfId="0" applyAlignment="1" applyBorder="1" applyFont="1">
      <alignment horizontal="left" shrinkToFit="0" vertical="center" wrapText="1"/>
    </xf>
    <xf borderId="19" fillId="6" fontId="10" numFmtId="0" xfId="0" applyAlignment="1" applyBorder="1" applyFont="1">
      <alignment horizontal="right" shrinkToFit="0" vertical="center" wrapText="1"/>
    </xf>
    <xf borderId="19" fillId="6" fontId="10" numFmtId="166" xfId="0" applyAlignment="1" applyBorder="1" applyFont="1" applyNumberFormat="1">
      <alignment horizontal="right" shrinkToFit="0" vertical="center" wrapText="1"/>
    </xf>
    <xf borderId="19" fillId="6" fontId="9" numFmtId="170" xfId="0" applyAlignment="1" applyBorder="1" applyFont="1" applyNumberFormat="1">
      <alignment horizontal="left" readingOrder="0" shrinkToFit="0" vertical="center" wrapText="1"/>
    </xf>
    <xf borderId="19" fillId="3" fontId="9" numFmtId="170" xfId="0" applyAlignment="1" applyBorder="1" applyFont="1" applyNumberFormat="1">
      <alignment horizontal="left" readingOrder="0" shrinkToFit="0" vertical="center" wrapText="1"/>
    </xf>
    <xf borderId="19" fillId="2" fontId="7" numFmtId="0" xfId="0" applyAlignment="1" applyBorder="1" applyFont="1">
      <alignment shrinkToFit="0" vertical="bottom" wrapText="0"/>
    </xf>
    <xf borderId="19" fillId="2" fontId="7" numFmtId="1" xfId="0" applyAlignment="1" applyBorder="1" applyFont="1" applyNumberFormat="1">
      <alignment horizontal="right" shrinkToFit="0" vertical="center" wrapText="1"/>
    </xf>
    <xf borderId="19" fillId="2" fontId="7" numFmtId="168" xfId="0" applyAlignment="1" applyBorder="1" applyFont="1" applyNumberFormat="1">
      <alignment horizontal="right" shrinkToFit="0" vertical="center" wrapText="1"/>
    </xf>
    <xf borderId="0" fillId="0" fontId="11" numFmtId="0" xfId="0" applyAlignment="1" applyFont="1">
      <alignment shrinkToFit="0" vertical="bottom" wrapText="0"/>
    </xf>
    <xf borderId="4" fillId="4" fontId="12" numFmtId="0" xfId="0" applyAlignment="1" applyBorder="1" applyFont="1">
      <alignment shrinkToFit="0" vertical="bottom" wrapText="0"/>
    </xf>
    <xf borderId="21" fillId="3" fontId="13" numFmtId="0" xfId="0" applyAlignment="1" applyBorder="1" applyFont="1">
      <alignment shrinkToFit="0" vertical="center" wrapText="1"/>
    </xf>
    <xf borderId="22" fillId="0" fontId="2" numFmtId="0" xfId="0" applyBorder="1" applyFont="1"/>
    <xf borderId="8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31.14"/>
    <col customWidth="1" min="2" max="2" width="39.0"/>
    <col customWidth="1" min="3" max="3" width="39.71"/>
    <col customWidth="1" min="4" max="8" width="10.0"/>
    <col customWidth="1" min="9" max="9" width="15.0"/>
    <col customWidth="1" min="10" max="11" width="14.0"/>
    <col customWidth="1" min="12" max="12" width="12.0"/>
    <col customWidth="1" min="13" max="16" width="14.0"/>
    <col customWidth="1" min="17" max="17" width="16.0"/>
    <col customWidth="1" min="18" max="19" width="14.0"/>
    <col customWidth="1" min="20" max="39" width="12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ht="15.0" customHeight="1">
      <c r="A2" s="5" t="s">
        <v>1</v>
      </c>
      <c r="B2" s="6" t="s">
        <v>2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9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ht="16.5" customHeight="1">
      <c r="A3" s="5" t="s">
        <v>3</v>
      </c>
      <c r="B3" s="10" t="s">
        <v>4</v>
      </c>
      <c r="C3" s="7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9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ht="17.25" customHeight="1">
      <c r="A4" s="5" t="s">
        <v>5</v>
      </c>
      <c r="B4" s="10" t="s">
        <v>6</v>
      </c>
      <c r="C4" s="7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9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</row>
    <row r="5" ht="19.5" customHeight="1">
      <c r="A5" s="13"/>
      <c r="B5" s="14"/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7"/>
      <c r="R5" s="17"/>
      <c r="S5" s="18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</row>
    <row r="6" ht="29.25" customHeight="1">
      <c r="A6" s="19"/>
      <c r="B6" s="20"/>
      <c r="C6" s="21"/>
      <c r="D6" s="22" t="s">
        <v>7</v>
      </c>
      <c r="E6" s="23"/>
      <c r="F6" s="23"/>
      <c r="G6" s="23"/>
      <c r="H6" s="24"/>
      <c r="I6" s="22" t="s">
        <v>8</v>
      </c>
      <c r="J6" s="23"/>
      <c r="K6" s="23"/>
      <c r="L6" s="23"/>
      <c r="M6" s="23"/>
      <c r="N6" s="23"/>
      <c r="O6" s="23"/>
      <c r="P6" s="24"/>
      <c r="Q6" s="25" t="s">
        <v>9</v>
      </c>
      <c r="R6" s="25" t="s">
        <v>10</v>
      </c>
      <c r="S6" s="25" t="s">
        <v>11</v>
      </c>
      <c r="T6" s="9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</row>
    <row r="7" ht="34.5" customHeight="1">
      <c r="A7" s="26" t="s">
        <v>12</v>
      </c>
      <c r="B7" s="27" t="s">
        <v>13</v>
      </c>
      <c r="C7" s="27" t="s">
        <v>14</v>
      </c>
      <c r="D7" s="28" t="s">
        <v>15</v>
      </c>
      <c r="E7" s="28" t="s">
        <v>16</v>
      </c>
      <c r="F7" s="29" t="s">
        <v>17</v>
      </c>
      <c r="G7" s="29" t="s">
        <v>18</v>
      </c>
      <c r="H7" s="29" t="s">
        <v>19</v>
      </c>
      <c r="I7" s="29" t="s">
        <v>20</v>
      </c>
      <c r="J7" s="29" t="s">
        <v>21</v>
      </c>
      <c r="K7" s="29" t="s">
        <v>22</v>
      </c>
      <c r="L7" s="29" t="s">
        <v>23</v>
      </c>
      <c r="M7" s="29" t="s">
        <v>24</v>
      </c>
      <c r="N7" s="29" t="s">
        <v>25</v>
      </c>
      <c r="O7" s="29" t="s">
        <v>26</v>
      </c>
      <c r="P7" s="29" t="s">
        <v>27</v>
      </c>
      <c r="Q7" s="29" t="s">
        <v>28</v>
      </c>
      <c r="R7" s="29" t="s">
        <v>29</v>
      </c>
      <c r="S7" s="30" t="s">
        <v>30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</row>
    <row r="8" ht="19.5" customHeight="1">
      <c r="A8" s="31" t="s">
        <v>31</v>
      </c>
      <c r="B8" s="32" t="s">
        <v>32</v>
      </c>
      <c r="C8" s="33"/>
      <c r="D8" s="34"/>
      <c r="E8" s="34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</row>
    <row r="9" ht="18.0" customHeight="1">
      <c r="A9" s="37" t="s">
        <v>33</v>
      </c>
      <c r="B9" s="38" t="s">
        <v>34</v>
      </c>
      <c r="C9" s="38" t="s">
        <v>35</v>
      </c>
      <c r="D9" s="39">
        <v>32.0</v>
      </c>
      <c r="E9" s="39"/>
      <c r="F9" s="40">
        <v>30000.0</v>
      </c>
      <c r="G9" s="41">
        <f t="shared" ref="G9:G12" si="1">D9*F9</f>
        <v>960000</v>
      </c>
      <c r="H9" s="41">
        <f t="shared" ref="H9:H12" si="2">E9*F9</f>
        <v>0</v>
      </c>
      <c r="I9" s="40">
        <v>800000.0</v>
      </c>
      <c r="J9" s="42"/>
      <c r="K9" s="42"/>
      <c r="L9" s="40">
        <v>600000.0</v>
      </c>
      <c r="M9" s="40">
        <v>350000.0</v>
      </c>
      <c r="N9" s="40"/>
      <c r="O9" s="42"/>
      <c r="P9" s="42">
        <f t="shared" ref="P9:P12" si="3">G9*0.1</f>
        <v>96000</v>
      </c>
      <c r="Q9" s="41">
        <f t="shared" ref="Q9:Q12" si="4">G9+SUM(I9:P9)</f>
        <v>2806000</v>
      </c>
      <c r="R9" s="43">
        <v>0.0</v>
      </c>
      <c r="S9" s="41">
        <f t="shared" ref="S9:S12" si="5">Q9-R9</f>
        <v>2806000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</row>
    <row r="10" ht="18.0" customHeight="1">
      <c r="A10" s="44" t="s">
        <v>36</v>
      </c>
      <c r="B10" s="45" t="s">
        <v>37</v>
      </c>
      <c r="C10" s="45" t="s">
        <v>38</v>
      </c>
      <c r="D10" s="46">
        <v>24.0</v>
      </c>
      <c r="E10" s="46"/>
      <c r="F10" s="47">
        <v>30000.0</v>
      </c>
      <c r="G10" s="48">
        <f t="shared" si="1"/>
        <v>720000</v>
      </c>
      <c r="H10" s="48">
        <f t="shared" si="2"/>
        <v>0</v>
      </c>
      <c r="I10" s="49"/>
      <c r="J10" s="47">
        <v>150000.0</v>
      </c>
      <c r="K10" s="49"/>
      <c r="L10" s="47">
        <v>400000.0</v>
      </c>
      <c r="M10" s="47"/>
      <c r="N10" s="47">
        <v>120000.0</v>
      </c>
      <c r="O10" s="47"/>
      <c r="P10" s="49">
        <f t="shared" si="3"/>
        <v>72000</v>
      </c>
      <c r="Q10" s="48">
        <f t="shared" si="4"/>
        <v>1462000</v>
      </c>
      <c r="R10" s="50">
        <v>0.0</v>
      </c>
      <c r="S10" s="48">
        <f t="shared" si="5"/>
        <v>1462000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</row>
    <row r="11" ht="18.0" customHeight="1">
      <c r="A11" s="37" t="s">
        <v>39</v>
      </c>
      <c r="B11" s="38" t="s">
        <v>40</v>
      </c>
      <c r="C11" s="38" t="s">
        <v>41</v>
      </c>
      <c r="D11" s="39">
        <v>16.0</v>
      </c>
      <c r="E11" s="39"/>
      <c r="F11" s="40">
        <v>30000.0</v>
      </c>
      <c r="G11" s="41">
        <f t="shared" si="1"/>
        <v>480000</v>
      </c>
      <c r="H11" s="41">
        <f t="shared" si="2"/>
        <v>0</v>
      </c>
      <c r="I11" s="40">
        <v>900000.0</v>
      </c>
      <c r="J11" s="42"/>
      <c r="K11" s="42"/>
      <c r="L11" s="42"/>
      <c r="M11" s="40"/>
      <c r="N11" s="42"/>
      <c r="O11" s="40">
        <v>1200000.0</v>
      </c>
      <c r="P11" s="42">
        <f t="shared" si="3"/>
        <v>48000</v>
      </c>
      <c r="Q11" s="41">
        <f t="shared" si="4"/>
        <v>2628000</v>
      </c>
      <c r="R11" s="43">
        <v>0.0</v>
      </c>
      <c r="S11" s="41">
        <f t="shared" si="5"/>
        <v>2628000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 ht="18.0" customHeight="1">
      <c r="A12" s="44" t="s">
        <v>42</v>
      </c>
      <c r="B12" s="45" t="s">
        <v>43</v>
      </c>
      <c r="C12" s="45" t="s">
        <v>44</v>
      </c>
      <c r="D12" s="46">
        <v>8.0</v>
      </c>
      <c r="E12" s="46"/>
      <c r="F12" s="47">
        <v>30000.0</v>
      </c>
      <c r="G12" s="48">
        <f t="shared" si="1"/>
        <v>240000</v>
      </c>
      <c r="H12" s="48">
        <f t="shared" si="2"/>
        <v>0</v>
      </c>
      <c r="I12" s="49"/>
      <c r="J12" s="49"/>
      <c r="K12" s="47">
        <v>150000.0</v>
      </c>
      <c r="L12" s="49"/>
      <c r="M12" s="49"/>
      <c r="N12" s="49"/>
      <c r="O12" s="47">
        <v>350000.0</v>
      </c>
      <c r="P12" s="49">
        <f t="shared" si="3"/>
        <v>24000</v>
      </c>
      <c r="Q12" s="48">
        <f t="shared" si="4"/>
        <v>764000</v>
      </c>
      <c r="R12" s="50">
        <v>0.0</v>
      </c>
      <c r="S12" s="48">
        <f t="shared" si="5"/>
        <v>764000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ht="19.5" customHeight="1">
      <c r="A13" s="33" t="s">
        <v>45</v>
      </c>
      <c r="B13" s="32" t="s">
        <v>46</v>
      </c>
      <c r="C13" s="33"/>
      <c r="D13" s="51"/>
      <c r="E13" s="52"/>
      <c r="F13" s="53"/>
      <c r="G13" s="53"/>
      <c r="H13" s="53"/>
      <c r="I13" s="52"/>
      <c r="J13" s="53"/>
      <c r="K13" s="52"/>
      <c r="L13" s="52"/>
      <c r="M13" s="52"/>
      <c r="N13" s="52"/>
      <c r="O13" s="53"/>
      <c r="P13" s="35"/>
      <c r="Q13" s="35"/>
      <c r="R13" s="35"/>
      <c r="S13" s="35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</row>
    <row r="14" ht="18.0" customHeight="1">
      <c r="A14" s="54" t="s">
        <v>47</v>
      </c>
      <c r="B14" s="45" t="s">
        <v>48</v>
      </c>
      <c r="C14" s="45" t="s">
        <v>49</v>
      </c>
      <c r="D14" s="55">
        <v>160.0</v>
      </c>
      <c r="E14" s="56"/>
      <c r="F14" s="47">
        <v>30000.0</v>
      </c>
      <c r="G14" s="48">
        <f t="shared" ref="G14:G17" si="6">D14*F14</f>
        <v>4800000</v>
      </c>
      <c r="H14" s="48">
        <f t="shared" ref="H14:H17" si="7">E14*F14</f>
        <v>0</v>
      </c>
      <c r="I14" s="49"/>
      <c r="J14" s="49"/>
      <c r="K14" s="47">
        <v>500000.0</v>
      </c>
      <c r="L14" s="49"/>
      <c r="M14" s="47">
        <v>1000000.0</v>
      </c>
      <c r="N14" s="49"/>
      <c r="O14" s="47">
        <v>450000.0</v>
      </c>
      <c r="P14" s="49">
        <f t="shared" ref="P14:P17" si="8">G14*0.1</f>
        <v>480000</v>
      </c>
      <c r="Q14" s="48">
        <f t="shared" ref="Q14:Q17" si="9">G14+SUM(I14:P14)</f>
        <v>7230000</v>
      </c>
      <c r="R14" s="50">
        <v>0.0</v>
      </c>
      <c r="S14" s="48">
        <f t="shared" ref="S14:S17" si="10">Q14-R14</f>
        <v>7230000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ht="18.0" customHeight="1">
      <c r="A15" s="57" t="s">
        <v>50</v>
      </c>
      <c r="B15" s="38" t="s">
        <v>51</v>
      </c>
      <c r="C15" s="38" t="s">
        <v>49</v>
      </c>
      <c r="D15" s="58">
        <v>160.0</v>
      </c>
      <c r="E15" s="59"/>
      <c r="F15" s="40">
        <v>30000.0</v>
      </c>
      <c r="G15" s="41">
        <f t="shared" si="6"/>
        <v>4800000</v>
      </c>
      <c r="H15" s="41">
        <f t="shared" si="7"/>
        <v>0</v>
      </c>
      <c r="I15" s="42"/>
      <c r="J15" s="42"/>
      <c r="K15" s="40">
        <v>2000000.0</v>
      </c>
      <c r="L15" s="42"/>
      <c r="M15" s="42"/>
      <c r="N15" s="40">
        <v>100000.0</v>
      </c>
      <c r="O15" s="42"/>
      <c r="P15" s="42">
        <f t="shared" si="8"/>
        <v>480000</v>
      </c>
      <c r="Q15" s="41">
        <f t="shared" si="9"/>
        <v>7380000</v>
      </c>
      <c r="R15" s="43">
        <v>0.0</v>
      </c>
      <c r="S15" s="41">
        <f t="shared" si="10"/>
        <v>7380000</v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ht="18.0" customHeight="1">
      <c r="A16" s="54" t="s">
        <v>52</v>
      </c>
      <c r="B16" s="45" t="s">
        <v>53</v>
      </c>
      <c r="C16" s="45" t="s">
        <v>49</v>
      </c>
      <c r="D16" s="55">
        <v>160.0</v>
      </c>
      <c r="E16" s="55"/>
      <c r="F16" s="47">
        <v>30000.0</v>
      </c>
      <c r="G16" s="48">
        <f t="shared" si="6"/>
        <v>4800000</v>
      </c>
      <c r="H16" s="48">
        <f t="shared" si="7"/>
        <v>0</v>
      </c>
      <c r="I16" s="49"/>
      <c r="J16" s="49"/>
      <c r="K16" s="47">
        <v>400000.0</v>
      </c>
      <c r="L16" s="47">
        <v>300000.0</v>
      </c>
      <c r="M16" s="49"/>
      <c r="N16" s="49"/>
      <c r="O16" s="49"/>
      <c r="P16" s="49">
        <f t="shared" si="8"/>
        <v>480000</v>
      </c>
      <c r="Q16" s="48">
        <f t="shared" si="9"/>
        <v>5980000</v>
      </c>
      <c r="R16" s="50">
        <v>0.0</v>
      </c>
      <c r="S16" s="48">
        <f t="shared" si="10"/>
        <v>5980000</v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ht="18.0" customHeight="1">
      <c r="A17" s="57" t="s">
        <v>54</v>
      </c>
      <c r="B17" s="38" t="s">
        <v>55</v>
      </c>
      <c r="C17" s="38" t="s">
        <v>49</v>
      </c>
      <c r="D17" s="58">
        <v>80.0</v>
      </c>
      <c r="E17" s="58"/>
      <c r="F17" s="40">
        <v>30000.0</v>
      </c>
      <c r="G17" s="41">
        <f t="shared" si="6"/>
        <v>2400000</v>
      </c>
      <c r="H17" s="41">
        <f t="shared" si="7"/>
        <v>0</v>
      </c>
      <c r="I17" s="42"/>
      <c r="J17" s="42"/>
      <c r="K17" s="40">
        <v>2500000.0</v>
      </c>
      <c r="L17" s="42"/>
      <c r="M17" s="42"/>
      <c r="N17" s="42"/>
      <c r="O17" s="40">
        <v>1200000.0</v>
      </c>
      <c r="P17" s="42">
        <f t="shared" si="8"/>
        <v>240000</v>
      </c>
      <c r="Q17" s="41">
        <f t="shared" si="9"/>
        <v>6340000</v>
      </c>
      <c r="R17" s="43">
        <v>0.0</v>
      </c>
      <c r="S17" s="41">
        <f t="shared" si="10"/>
        <v>6340000</v>
      </c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ht="19.5" customHeight="1">
      <c r="A18" s="32">
        <v>3.0</v>
      </c>
      <c r="B18" s="32" t="s">
        <v>56</v>
      </c>
      <c r="C18" s="33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ht="18.0" customHeight="1">
      <c r="A19" s="60">
        <v>46025.0</v>
      </c>
      <c r="B19" s="38" t="s">
        <v>57</v>
      </c>
      <c r="C19" s="38" t="s">
        <v>35</v>
      </c>
      <c r="D19" s="58">
        <v>16.0</v>
      </c>
      <c r="E19" s="58"/>
      <c r="F19" s="40">
        <v>30000.0</v>
      </c>
      <c r="G19" s="41">
        <f t="shared" ref="G19:G23" si="11">D19*F19</f>
        <v>480000</v>
      </c>
      <c r="H19" s="41">
        <f t="shared" ref="H19:H23" si="12">E19*F19</f>
        <v>0</v>
      </c>
      <c r="I19" s="42"/>
      <c r="J19" s="42"/>
      <c r="K19" s="40">
        <v>600000.0</v>
      </c>
      <c r="L19" s="42"/>
      <c r="M19" s="42"/>
      <c r="N19" s="42"/>
      <c r="O19" s="40">
        <v>4500000.0</v>
      </c>
      <c r="P19" s="42">
        <f t="shared" ref="P19:P23" si="13">G19*0.1</f>
        <v>48000</v>
      </c>
      <c r="Q19" s="41">
        <f t="shared" ref="Q19:Q23" si="14">G19+SUM(I19:P19)</f>
        <v>5628000</v>
      </c>
      <c r="R19" s="43">
        <v>0.0</v>
      </c>
      <c r="S19" s="41">
        <f t="shared" ref="S19:S23" si="15">Q19-R19</f>
        <v>5628000</v>
      </c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ht="18.0" customHeight="1">
      <c r="A20" s="61">
        <v>46056.0</v>
      </c>
      <c r="B20" s="45" t="s">
        <v>58</v>
      </c>
      <c r="C20" s="45" t="s">
        <v>59</v>
      </c>
      <c r="D20" s="55">
        <v>16.0</v>
      </c>
      <c r="E20" s="55"/>
      <c r="F20" s="47">
        <v>30000.0</v>
      </c>
      <c r="G20" s="48">
        <f t="shared" si="11"/>
        <v>480000</v>
      </c>
      <c r="H20" s="48">
        <f t="shared" si="12"/>
        <v>0</v>
      </c>
      <c r="I20" s="49"/>
      <c r="J20" s="47">
        <v>2000000.0</v>
      </c>
      <c r="K20" s="49"/>
      <c r="L20" s="49"/>
      <c r="M20" s="49"/>
      <c r="N20" s="49"/>
      <c r="O20" s="47">
        <v>800000.0</v>
      </c>
      <c r="P20" s="49">
        <f t="shared" si="13"/>
        <v>48000</v>
      </c>
      <c r="Q20" s="48">
        <f t="shared" si="14"/>
        <v>3328000</v>
      </c>
      <c r="R20" s="50">
        <v>0.0</v>
      </c>
      <c r="S20" s="48">
        <f t="shared" si="15"/>
        <v>3328000</v>
      </c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ht="18.0" customHeight="1">
      <c r="A21" s="60">
        <v>46084.0</v>
      </c>
      <c r="B21" s="38" t="s">
        <v>60</v>
      </c>
      <c r="C21" s="57" t="s">
        <v>41</v>
      </c>
      <c r="D21" s="58">
        <v>8.0</v>
      </c>
      <c r="E21" s="58"/>
      <c r="F21" s="40">
        <v>30000.0</v>
      </c>
      <c r="G21" s="41">
        <f t="shared" si="11"/>
        <v>240000</v>
      </c>
      <c r="H21" s="41">
        <f t="shared" si="12"/>
        <v>0</v>
      </c>
      <c r="I21" s="42"/>
      <c r="J21" s="42"/>
      <c r="K21" s="40">
        <v>400000.0</v>
      </c>
      <c r="L21" s="40">
        <v>3800000.0</v>
      </c>
      <c r="M21" s="40">
        <v>1500000.0</v>
      </c>
      <c r="N21" s="42"/>
      <c r="O21" s="42"/>
      <c r="P21" s="42">
        <f t="shared" si="13"/>
        <v>24000</v>
      </c>
      <c r="Q21" s="41">
        <f t="shared" si="14"/>
        <v>5964000</v>
      </c>
      <c r="R21" s="43">
        <v>0.0</v>
      </c>
      <c r="S21" s="41">
        <f t="shared" si="15"/>
        <v>5964000</v>
      </c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ht="18.0" customHeight="1">
      <c r="A22" s="61">
        <v>46115.0</v>
      </c>
      <c r="B22" s="45" t="s">
        <v>61</v>
      </c>
      <c r="C22" s="45" t="s">
        <v>44</v>
      </c>
      <c r="D22" s="55">
        <v>8.0</v>
      </c>
      <c r="E22" s="55"/>
      <c r="F22" s="47">
        <v>30000.0</v>
      </c>
      <c r="G22" s="48">
        <f t="shared" si="11"/>
        <v>240000</v>
      </c>
      <c r="H22" s="48">
        <f t="shared" si="12"/>
        <v>0</v>
      </c>
      <c r="I22" s="49"/>
      <c r="J22" s="49"/>
      <c r="K22" s="49"/>
      <c r="L22" s="49"/>
      <c r="M22" s="47">
        <v>300000.0</v>
      </c>
      <c r="N22" s="47">
        <v>150000.0</v>
      </c>
      <c r="O22" s="49"/>
      <c r="P22" s="49">
        <f t="shared" si="13"/>
        <v>24000</v>
      </c>
      <c r="Q22" s="48">
        <f t="shared" si="14"/>
        <v>714000</v>
      </c>
      <c r="R22" s="50">
        <v>0.0</v>
      </c>
      <c r="S22" s="48">
        <f t="shared" si="15"/>
        <v>714000</v>
      </c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</row>
    <row r="23" ht="18.0" customHeight="1">
      <c r="A23" s="60">
        <v>46145.0</v>
      </c>
      <c r="B23" s="38" t="s">
        <v>62</v>
      </c>
      <c r="C23" s="38" t="s">
        <v>44</v>
      </c>
      <c r="D23" s="58">
        <v>16.0</v>
      </c>
      <c r="E23" s="58"/>
      <c r="F23" s="40">
        <v>30000.0</v>
      </c>
      <c r="G23" s="41">
        <f t="shared" si="11"/>
        <v>480000</v>
      </c>
      <c r="H23" s="41">
        <f t="shared" si="12"/>
        <v>0</v>
      </c>
      <c r="I23" s="40">
        <v>1500000.0</v>
      </c>
      <c r="J23" s="42"/>
      <c r="K23" s="42"/>
      <c r="L23" s="42"/>
      <c r="M23" s="40">
        <v>250000.0</v>
      </c>
      <c r="N23" s="42"/>
      <c r="O23" s="42"/>
      <c r="P23" s="42">
        <f t="shared" si="13"/>
        <v>48000</v>
      </c>
      <c r="Q23" s="41">
        <f t="shared" si="14"/>
        <v>2278000</v>
      </c>
      <c r="R23" s="43">
        <v>0.0</v>
      </c>
      <c r="S23" s="41">
        <f t="shared" si="15"/>
        <v>2278000</v>
      </c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</row>
    <row r="24" ht="19.5" customHeight="1">
      <c r="A24" s="32">
        <v>4.0</v>
      </c>
      <c r="B24" s="32" t="s">
        <v>63</v>
      </c>
      <c r="C24" s="33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</row>
    <row r="25" ht="18.0" customHeight="1">
      <c r="A25" s="60">
        <v>46026.0</v>
      </c>
      <c r="B25" s="57" t="s">
        <v>64</v>
      </c>
      <c r="C25" s="57" t="s">
        <v>44</v>
      </c>
      <c r="D25" s="58">
        <v>128.0</v>
      </c>
      <c r="E25" s="58"/>
      <c r="F25" s="40">
        <v>30000.0</v>
      </c>
      <c r="G25" s="41">
        <f t="shared" ref="G25:G27" si="16">D25*F25</f>
        <v>3840000</v>
      </c>
      <c r="H25" s="41">
        <f t="shared" ref="H25:H27" si="17">E25*F25</f>
        <v>0</v>
      </c>
      <c r="I25" s="42"/>
      <c r="J25" s="42"/>
      <c r="K25" s="42"/>
      <c r="L25" s="40">
        <v>480000.0</v>
      </c>
      <c r="M25" s="42"/>
      <c r="N25" s="40">
        <v>300000.0</v>
      </c>
      <c r="O25" s="42"/>
      <c r="P25" s="42">
        <f t="shared" ref="P25:P27" si="18">G25*0.1</f>
        <v>384000</v>
      </c>
      <c r="Q25" s="41">
        <f t="shared" ref="Q25:Q27" si="19">G25+SUM(I25:P25)</f>
        <v>5004000</v>
      </c>
      <c r="R25" s="43">
        <v>0.0</v>
      </c>
      <c r="S25" s="41">
        <f t="shared" ref="S25:S27" si="20">Q25-R25</f>
        <v>5004000</v>
      </c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</row>
    <row r="26" ht="18.0" customHeight="1">
      <c r="A26" s="61">
        <v>46057.0</v>
      </c>
      <c r="B26" s="54" t="s">
        <v>65</v>
      </c>
      <c r="C26" s="54" t="s">
        <v>66</v>
      </c>
      <c r="D26" s="55">
        <v>48.0</v>
      </c>
      <c r="E26" s="55"/>
      <c r="F26" s="47">
        <v>30000.0</v>
      </c>
      <c r="G26" s="48">
        <f t="shared" si="16"/>
        <v>1440000</v>
      </c>
      <c r="H26" s="48">
        <f t="shared" si="17"/>
        <v>0</v>
      </c>
      <c r="I26" s="47">
        <v>7680000.0</v>
      </c>
      <c r="J26" s="49"/>
      <c r="K26" s="49"/>
      <c r="L26" s="49"/>
      <c r="M26" s="49"/>
      <c r="N26" s="49"/>
      <c r="O26" s="49"/>
      <c r="P26" s="49">
        <f t="shared" si="18"/>
        <v>144000</v>
      </c>
      <c r="Q26" s="48">
        <f t="shared" si="19"/>
        <v>9264000</v>
      </c>
      <c r="R26" s="50">
        <v>0.0</v>
      </c>
      <c r="S26" s="48">
        <f t="shared" si="20"/>
        <v>9264000</v>
      </c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</row>
    <row r="27" ht="18.0" customHeight="1">
      <c r="A27" s="60">
        <v>46085.0</v>
      </c>
      <c r="B27" s="57" t="s">
        <v>67</v>
      </c>
      <c r="C27" s="57" t="s">
        <v>66</v>
      </c>
      <c r="D27" s="58">
        <v>32.0</v>
      </c>
      <c r="E27" s="58"/>
      <c r="F27" s="40">
        <v>30000.0</v>
      </c>
      <c r="G27" s="41">
        <f t="shared" si="16"/>
        <v>960000</v>
      </c>
      <c r="H27" s="41">
        <f t="shared" si="17"/>
        <v>0</v>
      </c>
      <c r="I27" s="42"/>
      <c r="J27" s="42"/>
      <c r="K27" s="42"/>
      <c r="L27" s="40">
        <v>200000.0</v>
      </c>
      <c r="M27" s="42"/>
      <c r="N27" s="42"/>
      <c r="O27" s="40">
        <v>1500000.0</v>
      </c>
      <c r="P27" s="42">
        <f t="shared" si="18"/>
        <v>96000</v>
      </c>
      <c r="Q27" s="41">
        <f t="shared" si="19"/>
        <v>2756000</v>
      </c>
      <c r="R27" s="43">
        <v>0.0</v>
      </c>
      <c r="S27" s="41">
        <f t="shared" si="20"/>
        <v>2756000</v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ht="21.75" customHeight="1">
      <c r="A28" s="62"/>
      <c r="B28" s="62" t="s">
        <v>68</v>
      </c>
      <c r="C28" s="62"/>
      <c r="D28" s="63">
        <f t="shared" ref="D28:E28" si="21">SUM(D9:D27)</f>
        <v>912</v>
      </c>
      <c r="E28" s="63">
        <f t="shared" si="21"/>
        <v>0</v>
      </c>
      <c r="F28" s="64"/>
      <c r="G28" s="64">
        <f t="shared" ref="G28:S28" si="22">SUM(G9:G27)</f>
        <v>27360000</v>
      </c>
      <c r="H28" s="64">
        <f t="shared" si="22"/>
        <v>0</v>
      </c>
      <c r="I28" s="64">
        <f t="shared" si="22"/>
        <v>10880000</v>
      </c>
      <c r="J28" s="64">
        <f t="shared" si="22"/>
        <v>2150000</v>
      </c>
      <c r="K28" s="64">
        <f t="shared" si="22"/>
        <v>6550000</v>
      </c>
      <c r="L28" s="64">
        <f t="shared" si="22"/>
        <v>5780000</v>
      </c>
      <c r="M28" s="64">
        <f t="shared" si="22"/>
        <v>3400000</v>
      </c>
      <c r="N28" s="64">
        <f t="shared" si="22"/>
        <v>670000</v>
      </c>
      <c r="O28" s="64">
        <f t="shared" si="22"/>
        <v>10000000</v>
      </c>
      <c r="P28" s="64">
        <f t="shared" si="22"/>
        <v>2736000</v>
      </c>
      <c r="Q28" s="64">
        <f t="shared" si="22"/>
        <v>69526000</v>
      </c>
      <c r="R28" s="64">
        <f t="shared" si="22"/>
        <v>0</v>
      </c>
      <c r="S28" s="64">
        <f t="shared" si="22"/>
        <v>69526000</v>
      </c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 ht="15.75" customHeight="1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ht="15.75" customHeight="1">
      <c r="A30" s="65" t="s">
        <v>69</v>
      </c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ht="24.75" customHeight="1">
      <c r="A31" s="66" t="s">
        <v>70</v>
      </c>
      <c r="B31" s="67" t="s">
        <v>71</v>
      </c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9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ht="24.75" customHeight="1">
      <c r="A32" s="66" t="s">
        <v>21</v>
      </c>
      <c r="B32" s="67" t="s">
        <v>72</v>
      </c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9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ht="24.75" customHeight="1">
      <c r="A33" s="66" t="s">
        <v>22</v>
      </c>
      <c r="B33" s="67" t="s">
        <v>73</v>
      </c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9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ht="24.75" customHeight="1">
      <c r="A34" s="66" t="s">
        <v>23</v>
      </c>
      <c r="B34" s="67" t="s">
        <v>74</v>
      </c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9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ht="24.75" customHeight="1">
      <c r="A35" s="66" t="s">
        <v>24</v>
      </c>
      <c r="B35" s="67" t="s">
        <v>75</v>
      </c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9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ht="24.75" customHeight="1">
      <c r="A36" s="66" t="s">
        <v>25</v>
      </c>
      <c r="B36" s="67" t="s">
        <v>76</v>
      </c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9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ht="24.75" customHeight="1">
      <c r="A37" s="66" t="s">
        <v>26</v>
      </c>
      <c r="B37" s="67" t="s">
        <v>77</v>
      </c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9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ht="24.75" customHeight="1">
      <c r="A38" s="66" t="s">
        <v>78</v>
      </c>
      <c r="B38" s="67" t="s">
        <v>79</v>
      </c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9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ht="15.75" customHeight="1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ht="15.75" customHeight="1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ht="15.75" customHeight="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ht="15.75" customHeight="1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</row>
    <row r="43" ht="15.75" customHeight="1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4" ht="15.75" customHeight="1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</row>
    <row r="45" ht="15.75" customHeight="1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</row>
    <row r="46" ht="15.75" customHeight="1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</row>
    <row r="47" ht="15.75" customHeight="1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</row>
    <row r="48" ht="15.75" customHeight="1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</row>
    <row r="49" ht="15.75" customHeight="1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</row>
    <row r="50" ht="15.75" customHeight="1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</row>
    <row r="51" ht="15.75" customHeight="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</row>
    <row r="52" ht="15.75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</row>
    <row r="53" ht="15.75" customHeight="1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</row>
    <row r="54" ht="15.75" customHeight="1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</row>
    <row r="55" ht="15.75" customHeight="1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ht="15.75" customHeight="1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</row>
    <row r="57" ht="15.75" customHeight="1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</row>
    <row r="58" ht="15.75" customHeight="1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</row>
    <row r="59" ht="15.75" customHeight="1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</row>
    <row r="60" ht="15.75" customHeight="1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</row>
    <row r="61" ht="15.75" customHeight="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</row>
    <row r="62" ht="15.75" customHeight="1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</row>
    <row r="63" ht="15.75" customHeight="1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</row>
    <row r="64" ht="15.75" customHeight="1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</row>
    <row r="65" ht="15.75" customHeight="1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</row>
    <row r="66" ht="15.75" customHeight="1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</row>
    <row r="67" ht="15.75" customHeight="1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</row>
    <row r="68" ht="15.75" customHeight="1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</row>
    <row r="69" ht="15.75" customHeight="1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</row>
    <row r="70" ht="15.75" customHeight="1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</row>
    <row r="71" ht="15.75" customHeight="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5.75" customHeight="1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5.75" customHeight="1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5.75" customHeight="1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5.75" customHeight="1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5.75" customHeight="1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5.75" customHeight="1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5.75" customHeight="1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5.75" customHeight="1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5.75" customHeight="1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5.75" customHeight="1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5.75" customHeight="1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5.75" customHeight="1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5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5.7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5.75" customHeight="1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5.75" customHeight="1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5.75" customHeight="1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5.75" customHeight="1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5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5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5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5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5.75" customHeight="1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5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5.7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5.75" customHeight="1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5.75" customHeight="1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5.75" customHeight="1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5.75" customHeight="1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5.75" customHeight="1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5.75" customHeight="1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5.75" customHeight="1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5.75" customHeight="1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5.75" customHeight="1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5.7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5.75" customHeight="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5.75" customHeight="1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5.75" customHeight="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5.75" customHeight="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5.75" customHeight="1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5.75" customHeight="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5.75" customHeight="1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5.75" customHeight="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5.75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5.75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5.7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5.75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5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5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5.75" customHeight="1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15.75" customHeight="1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5.75" customHeight="1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5.75" customHeight="1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5.75" customHeight="1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5.75" customHeight="1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15.75" customHeight="1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5.75" customHeight="1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5.75" customHeight="1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5.75" customHeight="1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5.75" customHeight="1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5.75" customHeight="1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5.75" customHeight="1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5.75" customHeight="1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15.75" customHeight="1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5.75" customHeight="1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5.75" customHeight="1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5.75" customHeight="1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5.75" customHeight="1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15.75" customHeight="1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5.75" customHeight="1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5.75" customHeight="1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5.75" customHeight="1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5.75" customHeight="1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5.75" customHeight="1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15.75" customHeight="1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5.75" customHeight="1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5.75" customHeight="1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5.75" customHeight="1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5.75" customHeight="1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5.75" customHeight="1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5.75" customHeight="1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5.75" customHeight="1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15.75" customHeight="1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15.75" customHeight="1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15.75" customHeight="1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15.75" customHeight="1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15.75" customHeight="1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15.75" customHeight="1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15.75" customHeight="1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15.75" customHeight="1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15.75" customHeight="1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15.75" customHeight="1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15.75" customHeight="1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ht="15.75" customHeight="1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ht="15.75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ht="15.75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ht="15.75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ht="15.75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ht="15.75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ht="15.75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ht="15.75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ht="15.75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ht="15.75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15.75" customHeight="1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15.75" customHeight="1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15.75" customHeight="1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15.75" customHeight="1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15.75" customHeight="1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15.75" customHeight="1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15.75" customHeight="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15.75" customHeight="1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15.75" customHeight="1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15.75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15.75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15.75" customHeight="1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15.75" customHeight="1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15.75" customHeight="1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15.75" customHeight="1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15.75" customHeight="1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15.75" customHeight="1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15.75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15.75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15.75" customHeight="1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15.75" customHeight="1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15.75" customHeight="1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15.75" customHeight="1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15.75" customHeight="1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15.75" customHeight="1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15.75" customHeight="1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15.75" customHeight="1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15.75" customHeight="1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15.75" customHeight="1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15.75" customHeight="1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15.75" customHeight="1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15.75" customHeight="1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15.75" customHeight="1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15.75" customHeight="1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15.75" customHeight="1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15.75" customHeight="1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5.75" customHeight="1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15.75" customHeight="1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15.75" customHeight="1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15.75" customHeight="1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15.75" customHeight="1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15.75" customHeight="1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15.75" customHeight="1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15.75" customHeight="1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15.75" customHeight="1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15.75" customHeight="1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ht="15.75" customHeight="1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ht="15.75" customHeight="1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ht="15.75" customHeight="1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ht="15.75" customHeight="1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ht="15.75" customHeight="1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ht="15.75" customHeight="1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ht="15.75" customHeight="1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ht="15.75" customHeight="1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ht="15.75" customHeight="1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ht="15.75" customHeight="1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ht="15.75" customHeight="1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ht="15.75" customHeight="1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ht="15.75" customHeight="1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ht="15.75" customHeight="1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ht="15.75" customHeight="1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ht="15.75" customHeight="1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ht="15.75" customHeight="1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ht="15.75" customHeight="1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5">
    <mergeCell ref="B31:S31"/>
    <mergeCell ref="B32:S32"/>
    <mergeCell ref="B33:S33"/>
    <mergeCell ref="B34:S34"/>
    <mergeCell ref="B35:S35"/>
    <mergeCell ref="B36:S36"/>
    <mergeCell ref="B37:S37"/>
    <mergeCell ref="B38:S38"/>
    <mergeCell ref="A1:S1"/>
    <mergeCell ref="B2:C2"/>
    <mergeCell ref="B3:C3"/>
    <mergeCell ref="B4:C4"/>
    <mergeCell ref="D6:H6"/>
    <mergeCell ref="I6:P6"/>
    <mergeCell ref="A30:S30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2016-04-28T20:56:19Z</dcterms:created>
  <dc:creator>ProjectManager.com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