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  <sheet state="visible" name="Costos_Oportunidad" sheetId="2" r:id="rId5"/>
    <sheet state="visible" name="Costos_Hundidos" sheetId="3" r:id="rId6"/>
    <sheet state="visible" name="Costos_Variables" sheetId="4" r:id="rId7"/>
    <sheet state="visible" name="Costos_Fijos" sheetId="5" r:id="rId8"/>
    <sheet state="visible" name="Costos_Directos" sheetId="6" r:id="rId9"/>
    <sheet state="visible" name="Costos_Indirectos" sheetId="7" r:id="rId10"/>
    <sheet state="visible" name="Costos_Calidad" sheetId="8" r:id="rId11"/>
  </sheets>
  <definedNames/>
  <calcPr/>
  <extLst>
    <ext uri="GoogleSheetsCustomDataVersion2">
      <go:sheetsCustomData xmlns:go="http://customooxmlschemas.google.com/" r:id="rId12" roundtripDataChecksum="eBHvo0/oHb0y0USMPRePV0f4VAnA5p0hluo/Xgbris0="/>
    </ext>
  </extLst>
</workbook>
</file>

<file path=xl/sharedStrings.xml><?xml version="1.0" encoding="utf-8"?>
<sst xmlns="http://schemas.openxmlformats.org/spreadsheetml/2006/main" count="365" uniqueCount="90">
  <si>
    <t>LÍNEA BASE DE COSTOS – CUANTIFICACIÓN DE COSTOS TOTALES</t>
  </si>
  <si>
    <t>PROYECTO:</t>
  </si>
  <si>
    <t>Vibe Tribe – Aplicación Móvil de Viajes Colaborativos</t>
  </si>
  <si>
    <t>CÓDIGO:</t>
  </si>
  <si>
    <t>VBT-2026-01</t>
  </si>
  <si>
    <t>PERÍODO:</t>
  </si>
  <si>
    <t>Marzo 2026 – Junio 2026 (16 semanas)</t>
  </si>
  <si>
    <t>DIRECTORA:</t>
  </si>
  <si>
    <t>Katlyn Galvis Rodríguez</t>
  </si>
  <si>
    <t>Tipo de Costo</t>
  </si>
  <si>
    <t>Monto Total (COP)</t>
  </si>
  <si>
    <t>COSTO DE OPORTUNIDAD</t>
  </si>
  <si>
    <t>COSTOS HUNDIDOS</t>
  </si>
  <si>
    <t>COSTOS VARIABLES</t>
  </si>
  <si>
    <t>COSTOS FIJOS</t>
  </si>
  <si>
    <t>COSTOS DIRECTOS</t>
  </si>
  <si>
    <t>COSTOS INDIRECTOS</t>
  </si>
  <si>
    <t>COSTOS CALIDAD</t>
  </si>
  <si>
    <t>TOTAL COSTOS DE RECURSOS</t>
  </si>
  <si>
    <t>★  PRESUPUESTO TOTAL DEL PROYECTO (LÍNEA BASE)</t>
  </si>
  <si>
    <t>NOTAS:</t>
  </si>
  <si>
    <t>• COSTOS DE OPORTUNIDAD: Valor del tiempo invertido en reuniones y gestión en lugar de desarrollo técnico.</t>
  </si>
  <si>
    <t>• COSTOS HUNDIDOS: Inversiones iniciales irreversibles en registros de dominio y trabajo técnico descartado.</t>
  </si>
  <si>
    <t>• COSTOS VARIABLES: Gastos que cambian según el uso de servidores en la nube y consumo de APIs.</t>
  </si>
  <si>
    <t>• COSTOS FIJOS: Suscripciones recurrentes a herramientas y mantenimiento operativo del entorno de trabajo.</t>
  </si>
  <si>
    <t>• COSTOS DIRECTOS: Compras únicas de activos digitales, trámites legales de marca y capacitaciones específicas.</t>
  </si>
  <si>
    <t>• COSTOS INDIRECTOS: Herramientas de apoyo para la gestión de tareas y almacenamiento de código fuente.</t>
  </si>
  <si>
    <t>• COSTOS DE CALIDAD: Inversión en seguridad, pruebas en dispositivos reales y certificados de protección de datos.</t>
  </si>
  <si>
    <t>LINEA BASE DE COSTOS – COSTO DE OPORTUNIDAD</t>
  </si>
  <si>
    <t>PROYECTO: Vibe Tribe – Aplicación Móvil de Viajes Colaborativos</t>
  </si>
  <si>
    <t>Mes 1
(Mar 2026)</t>
  </si>
  <si>
    <t>Mes 2
(Abr 2026)</t>
  </si>
  <si>
    <t>Mes 3
(May 2026)</t>
  </si>
  <si>
    <t>Mes 4
(Jun 2026)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</si>
  <si>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</si>
  <si>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</si>
  <si>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</si>
  <si>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</si>
  <si>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</si>
  <si>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</si>
  <si>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</si>
  <si>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</si>
  <si>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</t>
  </si>
  <si>
    <t>Nombre Recurso / Asignación</t>
  </si>
  <si>
    <t>Costo Mensual Recurso (COP)</t>
  </si>
  <si>
    <t>% Asig.</t>
  </si>
  <si>
    <t>Costo</t>
  </si>
  <si>
    <t>Oportunidad – Revisión PO (1.1)</t>
  </si>
  <si>
    <t>Oportunidad – Retraso Refinamiento (1.3)</t>
  </si>
  <si>
    <t>Oportunidad – Cierre vs Expansión (3.5)</t>
  </si>
  <si>
    <t>Oportunidad – Ceremonias Scrum (4.2)</t>
  </si>
  <si>
    <t>TOTAL CONSOLIDADO</t>
  </si>
  <si>
    <t>LINEA BASE DE COSTOS – COSTOS HUNDIDOS</t>
  </si>
  <si>
    <t>Registro de Dominio .app / .com (1.2)</t>
  </si>
  <si>
    <t>Funcionalidades descartadas/arquitectura (3.2)</t>
  </si>
  <si>
    <t>LINEA BASE DE COSTOS – COSTOS VARIABLES</t>
  </si>
  <si>
    <t>Runners GitHub Actions (1.4)</t>
  </si>
  <si>
    <t>Verificación SMS/OTP (2.1)</t>
  </si>
  <si>
    <t>Google Maps API - Routes (2.2)</t>
  </si>
  <si>
    <t>Tráfico de Datos Real-time (2.3)</t>
  </si>
  <si>
    <t>AWS Rekognition (Moderación IA) (2.4)</t>
  </si>
  <si>
    <t>AWS Device Farm - Testing (3.1)</t>
  </si>
  <si>
    <t>Data Transfer Out - AWS (3.3)</t>
  </si>
  <si>
    <t>LINEA BASE DE COSTOS – COSTOS FIJOS</t>
  </si>
  <si>
    <t>Licencia Figma Professional (1.1)</t>
  </si>
  <si>
    <t>AWS Support Plan Business (1.2)</t>
  </si>
  <si>
    <t>Backups DB y Retención (2.3)</t>
  </si>
  <si>
    <t>AWS Reserved Instances - Prepago (3.3)</t>
  </si>
  <si>
    <t>Amortización Laptops Equipo (4.1)</t>
  </si>
  <si>
    <t>Licencia Notion/Knowledge Base (4.3)</t>
  </si>
  <si>
    <t>LINEA BASE DE COSTOS – COSTOS DIRECTOS</t>
  </si>
  <si>
    <t>UI Kit Viajes (Assets Gráficos) (1.1)</t>
  </si>
  <si>
    <t>Capacitación Seguridad OAuth2 (2.1)</t>
  </si>
  <si>
    <t>Registro Marca Vibe Tribe - SIC (3.3)</t>
  </si>
  <si>
    <t>Alquiler Plataforma Webinar (3.4)</t>
  </si>
  <si>
    <t>Gastos Notariales Liquidación (3.5)</t>
  </si>
  <si>
    <t>LINEA BASE DE COSTOS – COSTOS INDIRECTOS</t>
  </si>
  <si>
    <t>GitHub Team (Repositorio) (1.2)</t>
  </si>
  <si>
    <t>Almacenamiento S3 Base (2.2)</t>
  </si>
  <si>
    <t>Licencia Adobe CC (Manuales) (3.4)</t>
  </si>
  <si>
    <t>Jira / Asana Premium (4.1)</t>
  </si>
  <si>
    <t>}</t>
  </si>
  <si>
    <t>LINEA BASE DE COSTOS – COSTOS CALIDAD</t>
  </si>
  <si>
    <t>Refinamiento Técnico Preventivo (1.3)</t>
  </si>
  <si>
    <t>SonarQube Cloud - Vulnerabilidades (1.4)</t>
  </si>
  <si>
    <t>Certificado SSL EV (2.1)</t>
  </si>
  <si>
    <t>User Testing Externo (2.4)</t>
  </si>
  <si>
    <t>Pentesting Externo (3.1)</t>
  </si>
  <si>
    <t>Re-testeo de Falla Interna (3.2)</t>
  </si>
  <si>
    <t>Revisión Arquitectura Experta (4.3)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</si>
</sst>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 &quot;#,##0.0"/>
    <numFmt numFmtId="165" formatCode="#,##0;\(#,##0\);\-"/>
    <numFmt numFmtId="166" formatCode="0\%"/>
    <numFmt numFmtId="167" formatCode="&quot;$ &quot;#,##0"/>
  </numFmts>
  <fonts count="26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theme="1"/>
      <name val="Arial"/>
    </font>
    <font>
      <sz val="9.0"/>
      <color theme="1"/>
      <name val="Arial"/>
    </font>
    <font>
      <b/>
      <u/>
      <sz val="10.0"/>
      <color rgb="FFFFFFFF"/>
      <name val="Arial"/>
    </font>
    <font>
      <b/>
      <sz val="10.0"/>
      <color rgb="FFFFFFFF"/>
      <name val="Arial"/>
    </font>
    <font>
      <b/>
      <u/>
      <sz val="9.0"/>
      <color rgb="FFFF9900"/>
      <name val="Arial"/>
    </font>
    <font>
      <b/>
      <u/>
      <sz val="9.0"/>
      <color rgb="FFFF9900"/>
      <name val="Arial"/>
    </font>
    <font>
      <b/>
      <sz val="9.0"/>
      <color rgb="FFFF9900"/>
      <name val="Arial"/>
    </font>
    <font>
      <b/>
      <sz val="10.0"/>
      <color rgb="FF1F3864"/>
      <name val="Arial"/>
    </font>
    <font>
      <b/>
      <sz val="11.0"/>
      <color rgb="FFFFFFFF"/>
      <name val="Arial"/>
    </font>
    <font>
      <b/>
      <sz val="9.0"/>
      <color rgb="FF1F3864"/>
      <name val="Arial"/>
    </font>
    <font>
      <sz val="8.0"/>
      <color rgb="FF444444"/>
      <name val="Arial"/>
    </font>
    <font>
      <b/>
      <sz val="12.0"/>
      <color rgb="FFFFFFFF"/>
      <name val="Arial"/>
    </font>
    <font>
      <b/>
      <sz val="10.0"/>
      <color rgb="FFFF9900"/>
      <name val="Arial"/>
    </font>
    <font>
      <u/>
      <sz val="9.0"/>
      <color rgb="FF0000FF"/>
      <name val="Arial"/>
    </font>
    <font>
      <u/>
      <sz val="18.0"/>
      <color theme="10"/>
      <name val="Calibri"/>
    </font>
    <font>
      <b/>
      <sz val="8.0"/>
      <color rgb="FFFFFFFF"/>
      <name val="Arial"/>
    </font>
    <font>
      <sz val="8.0"/>
      <color rgb="FF999999"/>
      <name val="Arial"/>
    </font>
    <font>
      <b/>
      <sz val="9.0"/>
      <color rgb="FFFFFFFF"/>
      <name val="Arial"/>
    </font>
    <font>
      <b/>
      <sz val="7.0"/>
      <color rgb="FFFFFFFF"/>
      <name val="Arial"/>
    </font>
    <font>
      <sz val="9.0"/>
      <color rgb="FF000088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bottom/>
    </border>
    <border>
      <left/>
      <right/>
      <top/>
      <bottom/>
    </border>
    <border>
      <left/>
      <right/>
      <top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/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5" fillId="3" fontId="3" numFmtId="0" xfId="0" applyAlignment="1" applyBorder="1" applyFont="1">
      <alignment shrinkToFit="0" vertical="bottom" wrapText="0"/>
    </xf>
    <xf borderId="6" fillId="3" fontId="3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7" fillId="2" fontId="6" numFmtId="164" xfId="0" applyAlignment="1" applyBorder="1" applyFont="1" applyNumberFormat="1">
      <alignment horizontal="center" shrinkToFit="0" vertical="bottom" wrapText="0"/>
    </xf>
    <xf borderId="8" fillId="3" fontId="7" numFmtId="0" xfId="0" applyAlignment="1" applyBorder="1" applyFont="1">
      <alignment horizontal="left" shrinkToFit="0" vertical="center" wrapText="0"/>
    </xf>
    <xf borderId="9" fillId="0" fontId="2" numFmtId="0" xfId="0" applyBorder="1" applyFont="1"/>
    <xf borderId="10" fillId="0" fontId="2" numFmtId="0" xfId="0" applyBorder="1" applyFont="1"/>
    <xf borderId="11" fillId="0" fontId="3" numFmtId="165" xfId="0" applyAlignment="1" applyBorder="1" applyFont="1" applyNumberFormat="1">
      <alignment horizontal="right" shrinkToFit="0" vertical="center" wrapText="0"/>
    </xf>
    <xf borderId="12" fillId="3" fontId="8" numFmtId="0" xfId="0" applyAlignment="1" applyBorder="1" applyFont="1">
      <alignment horizontal="left" shrinkToFit="0" vertical="center" wrapText="0"/>
    </xf>
    <xf borderId="13" fillId="0" fontId="2" numFmtId="0" xfId="0" applyBorder="1" applyFont="1"/>
    <xf borderId="14" fillId="0" fontId="2" numFmtId="0" xfId="0" applyBorder="1" applyFont="1"/>
    <xf borderId="15" fillId="0" fontId="3" numFmtId="165" xfId="0" applyAlignment="1" applyBorder="1" applyFont="1" applyNumberFormat="1">
      <alignment horizontal="right" shrinkToFit="0" vertical="center" wrapText="0"/>
    </xf>
    <xf borderId="12" fillId="3" fontId="9" numFmtId="0" xfId="0" applyAlignment="1" applyBorder="1" applyFont="1">
      <alignment horizontal="left" shrinkToFit="0" vertical="center" wrapText="0"/>
    </xf>
    <xf borderId="16" fillId="3" fontId="10" numFmtId="0" xfId="0" applyAlignment="1" applyBorder="1" applyFont="1">
      <alignment horizontal="left" readingOrder="0" shrinkToFit="0" vertical="center" wrapText="0"/>
    </xf>
    <xf borderId="17" fillId="0" fontId="2" numFmtId="0" xfId="0" applyBorder="1" applyFont="1"/>
    <xf borderId="18" fillId="0" fontId="2" numFmtId="0" xfId="0" applyBorder="1" applyFont="1"/>
    <xf borderId="15" fillId="3" fontId="10" numFmtId="165" xfId="0" applyAlignment="1" applyBorder="1" applyFont="1" applyNumberFormat="1">
      <alignment horizontal="right" shrinkToFit="0" vertical="center" wrapText="0"/>
    </xf>
    <xf borderId="1" fillId="2" fontId="11" numFmtId="0" xfId="0" applyAlignment="1" applyBorder="1" applyFont="1">
      <alignment horizontal="left" shrinkToFit="0" vertical="center" wrapText="0"/>
    </xf>
    <xf borderId="7" fillId="2" fontId="11" numFmtId="165" xfId="0" applyAlignment="1" applyBorder="1" applyFont="1" applyNumberFormat="1">
      <alignment horizontal="right" shrinkToFit="0" vertical="center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center" wrapText="1"/>
    </xf>
    <xf borderId="16" fillId="2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16" fillId="4" fontId="18" numFmtId="0" xfId="0" applyAlignment="1" applyBorder="1" applyFill="1" applyFont="1">
      <alignment horizontal="center" shrinkToFit="0" vertical="center" wrapText="1"/>
    </xf>
    <xf borderId="16" fillId="5" fontId="19" numFmtId="0" xfId="0" applyAlignment="1" applyBorder="1" applyFill="1" applyFont="1">
      <alignment horizontal="center" shrinkToFit="0" vertical="center" wrapText="1"/>
    </xf>
    <xf borderId="5" fillId="2" fontId="20" numFmtId="0" xfId="0" applyAlignment="1" applyBorder="1" applyFont="1">
      <alignment horizontal="center" shrinkToFit="0" vertical="center" wrapText="1"/>
    </xf>
    <xf borderId="5" fillId="2" fontId="18" numFmtId="0" xfId="0" applyAlignment="1" applyBorder="1" applyFont="1">
      <alignment horizontal="center" shrinkToFit="0" vertical="center" wrapText="1"/>
    </xf>
    <xf borderId="5" fillId="2" fontId="21" numFmtId="0" xfId="0" applyAlignment="1" applyBorder="1" applyFont="1">
      <alignment horizontal="center" shrinkToFit="0" vertical="center" wrapText="1"/>
    </xf>
    <xf borderId="15" fillId="5" fontId="4" numFmtId="0" xfId="0" applyAlignment="1" applyBorder="1" applyFont="1">
      <alignment horizontal="left" readingOrder="0" shrinkToFit="0" vertical="center" wrapText="0"/>
    </xf>
    <xf borderId="15" fillId="5" fontId="22" numFmtId="165" xfId="0" applyAlignment="1" applyBorder="1" applyFont="1" applyNumberFormat="1">
      <alignment horizontal="right" readingOrder="0" shrinkToFit="0" vertical="center" wrapText="1"/>
    </xf>
    <xf borderId="15" fillId="5" fontId="22" numFmtId="166" xfId="0" applyAlignment="1" applyBorder="1" applyFont="1" applyNumberFormat="1">
      <alignment horizontal="center" shrinkToFit="0" vertical="center" wrapText="1"/>
    </xf>
    <xf borderId="15" fillId="5" fontId="4" numFmtId="165" xfId="0" applyAlignment="1" applyBorder="1" applyFont="1" applyNumberFormat="1">
      <alignment horizontal="right" shrinkToFit="0" vertical="center" wrapText="1"/>
    </xf>
    <xf borderId="15" fillId="5" fontId="22" numFmtId="166" xfId="0" applyAlignment="1" applyBorder="1" applyFont="1" applyNumberFormat="1">
      <alignment horizontal="center" readingOrder="0" shrinkToFit="0" vertical="center" wrapText="1"/>
    </xf>
    <xf borderId="15" fillId="3" fontId="3" numFmtId="165" xfId="0" applyAlignment="1" applyBorder="1" applyFont="1" applyNumberFormat="1">
      <alignment horizontal="right" shrinkToFit="0" vertical="center" wrapText="1"/>
    </xf>
    <xf borderId="15" fillId="6" fontId="4" numFmtId="0" xfId="0" applyAlignment="1" applyBorder="1" applyFill="1" applyFont="1">
      <alignment horizontal="left" readingOrder="0" shrinkToFit="0" vertical="center" wrapText="0"/>
    </xf>
    <xf borderId="15" fillId="6" fontId="22" numFmtId="165" xfId="0" applyAlignment="1" applyBorder="1" applyFont="1" applyNumberFormat="1">
      <alignment horizontal="right" readingOrder="0" shrinkToFit="0" vertical="center" wrapText="1"/>
    </xf>
    <xf borderId="15" fillId="6" fontId="22" numFmtId="166" xfId="0" applyAlignment="1" applyBorder="1" applyFont="1" applyNumberFormat="1">
      <alignment horizontal="center" shrinkToFit="0" vertical="center" wrapText="1"/>
    </xf>
    <xf borderId="15" fillId="6" fontId="4" numFmtId="165" xfId="0" applyAlignment="1" applyBorder="1" applyFont="1" applyNumberFormat="1">
      <alignment horizontal="right" shrinkToFit="0" vertical="center" wrapText="1"/>
    </xf>
    <xf borderId="15" fillId="6" fontId="22" numFmtId="166" xfId="0" applyAlignment="1" applyBorder="1" applyFont="1" applyNumberFormat="1">
      <alignment horizontal="center" readingOrder="0" shrinkToFit="0" vertical="center" wrapText="1"/>
    </xf>
    <xf borderId="0" fillId="0" fontId="23" numFmtId="167" xfId="0" applyAlignment="1" applyFont="1" applyNumberFormat="1">
      <alignment shrinkToFit="0" vertical="bottom" wrapText="0"/>
    </xf>
    <xf borderId="0" fillId="0" fontId="12" numFmtId="167" xfId="0" applyAlignment="1" applyFont="1" applyNumberFormat="1">
      <alignment horizontal="right" shrinkToFit="0" vertical="center" wrapText="1"/>
    </xf>
    <xf borderId="15" fillId="2" fontId="6" numFmtId="165" xfId="0" applyAlignment="1" applyBorder="1" applyFont="1" applyNumberFormat="1">
      <alignment horizontal="right" shrinkToFit="0" vertical="center" wrapText="1"/>
    </xf>
    <xf borderId="0" fillId="0" fontId="24" numFmtId="0" xfId="0" applyAlignment="1" applyFont="1">
      <alignment shrinkToFit="0" vertical="bottom" wrapText="0"/>
    </xf>
    <xf borderId="0" fillId="0" fontId="24" numFmtId="167" xfId="0" applyAlignment="1" applyFont="1" applyNumberFormat="1">
      <alignment shrinkToFit="0" vertical="bottom" wrapText="0"/>
    </xf>
    <xf borderId="15" fillId="5" fontId="4" numFmtId="0" xfId="0" applyAlignment="1" applyBorder="1" applyFont="1">
      <alignment readingOrder="0"/>
    </xf>
    <xf borderId="15" fillId="5" fontId="22" numFmtId="165" xfId="0" applyAlignment="1" applyBorder="1" applyFont="1" applyNumberFormat="1">
      <alignment horizontal="right" readingOrder="0" shrinkToFit="0" wrapText="1"/>
    </xf>
    <xf borderId="15" fillId="5" fontId="4" numFmtId="165" xfId="0" applyAlignment="1" applyBorder="1" applyFont="1" applyNumberFormat="1">
      <alignment horizontal="right" shrinkToFit="0" wrapText="1"/>
    </xf>
    <xf borderId="15" fillId="5" fontId="22" numFmtId="166" xfId="0" applyAlignment="1" applyBorder="1" applyFont="1" applyNumberFormat="1">
      <alignment horizontal="center" shrinkToFit="0" wrapText="1"/>
    </xf>
    <xf borderId="15" fillId="5" fontId="23" numFmtId="166" xfId="0" applyBorder="1" applyFont="1" applyNumberFormat="1"/>
    <xf borderId="15" fillId="5" fontId="23" numFmtId="165" xfId="0" applyBorder="1" applyFont="1" applyNumberFormat="1"/>
    <xf borderId="15" fillId="3" fontId="3" numFmtId="165" xfId="0" applyAlignment="1" applyBorder="1" applyFont="1" applyNumberFormat="1">
      <alignment horizontal="right" shrinkToFit="0" wrapText="1"/>
    </xf>
    <xf borderId="15" fillId="6" fontId="4" numFmtId="0" xfId="0" applyAlignment="1" applyBorder="1" applyFont="1">
      <alignment readingOrder="0"/>
    </xf>
    <xf borderId="15" fillId="6" fontId="22" numFmtId="165" xfId="0" applyAlignment="1" applyBorder="1" applyFont="1" applyNumberFormat="1">
      <alignment horizontal="right" readingOrder="0" shrinkToFit="0" wrapText="1"/>
    </xf>
    <xf borderId="15" fillId="6" fontId="22" numFmtId="166" xfId="0" applyAlignment="1" applyBorder="1" applyFont="1" applyNumberFormat="1">
      <alignment horizontal="center" readingOrder="0" shrinkToFit="0" wrapText="1"/>
    </xf>
    <xf borderId="15" fillId="6" fontId="4" numFmtId="165" xfId="0" applyAlignment="1" applyBorder="1" applyFont="1" applyNumberFormat="1">
      <alignment horizontal="right" shrinkToFit="0" wrapText="1"/>
    </xf>
    <xf borderId="15" fillId="6" fontId="22" numFmtId="166" xfId="0" applyAlignment="1" applyBorder="1" applyFont="1" applyNumberFormat="1">
      <alignment horizontal="center" shrinkToFit="0" wrapText="1"/>
    </xf>
    <xf borderId="15" fillId="6" fontId="23" numFmtId="166" xfId="0" applyBorder="1" applyFont="1" applyNumberFormat="1"/>
    <xf borderId="15" fillId="6" fontId="23" numFmtId="165" xfId="0" applyBorder="1" applyFont="1" applyNumberFormat="1"/>
    <xf borderId="15" fillId="5" fontId="22" numFmtId="166" xfId="0" applyAlignment="1" applyBorder="1" applyFont="1" applyNumberFormat="1">
      <alignment horizontal="center" readingOrder="0" shrinkToFit="0" wrapText="1"/>
    </xf>
    <xf borderId="0" fillId="0" fontId="12" numFmtId="0" xfId="0" applyAlignment="1" applyFont="1">
      <alignment horizontal="right" shrinkToFit="0" vertical="center" wrapText="1"/>
    </xf>
    <xf borderId="15" fillId="6" fontId="22" numFmtId="165" xfId="0" applyAlignment="1" applyBorder="1" applyFont="1" applyNumberFormat="1">
      <alignment horizontal="right" shrinkToFit="0" vertical="center" wrapText="1"/>
    </xf>
    <xf borderId="0" fillId="0" fontId="2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2" width="44.0"/>
    <col customWidth="1" min="3" max="5" width="10.0"/>
    <col customWidth="1" min="6" max="6" width="22.0"/>
    <col customWidth="1" min="7" max="26" width="11.43"/>
  </cols>
  <sheetData>
    <row r="1" ht="31.5" customHeight="1">
      <c r="A1" s="1" t="s">
        <v>0</v>
      </c>
      <c r="B1" s="2"/>
      <c r="C1" s="2"/>
      <c r="D1" s="2"/>
      <c r="E1" s="2"/>
      <c r="F1" s="3"/>
    </row>
    <row r="2" ht="26.25" customHeight="1">
      <c r="A2" s="4" t="s">
        <v>1</v>
      </c>
      <c r="B2" s="5" t="s">
        <v>2</v>
      </c>
    </row>
    <row r="3">
      <c r="A3" s="6" t="s">
        <v>3</v>
      </c>
      <c r="B3" s="5" t="s">
        <v>4</v>
      </c>
    </row>
    <row r="4">
      <c r="A4" s="6" t="s">
        <v>5</v>
      </c>
      <c r="B4" s="5" t="s">
        <v>6</v>
      </c>
    </row>
    <row r="5">
      <c r="A5" s="7" t="s">
        <v>7</v>
      </c>
      <c r="B5" s="5" t="s">
        <v>8</v>
      </c>
    </row>
    <row r="6" ht="18.0" customHeight="1">
      <c r="A6" s="8" t="s">
        <v>9</v>
      </c>
      <c r="B6" s="2"/>
      <c r="C6" s="2"/>
      <c r="D6" s="2"/>
      <c r="E6" s="3"/>
      <c r="F6" s="9" t="s">
        <v>10</v>
      </c>
    </row>
    <row r="7" ht="26.25" customHeight="1">
      <c r="A7" s="10" t="s">
        <v>11</v>
      </c>
      <c r="B7" s="11"/>
      <c r="C7" s="11"/>
      <c r="D7" s="11"/>
      <c r="E7" s="12"/>
      <c r="F7" s="13">
        <f>Costos_Oportunidad!AA11</f>
        <v>10880000</v>
      </c>
    </row>
    <row r="8" ht="26.25" customHeight="1">
      <c r="A8" s="14" t="s">
        <v>12</v>
      </c>
      <c r="B8" s="15"/>
      <c r="C8" s="15"/>
      <c r="D8" s="15"/>
      <c r="E8" s="16"/>
      <c r="F8" s="17">
        <f>Costos_Hundidos!AA9</f>
        <v>2150000</v>
      </c>
    </row>
    <row r="9" ht="26.25" customHeight="1">
      <c r="A9" s="14" t="s">
        <v>13</v>
      </c>
      <c r="B9" s="15"/>
      <c r="C9" s="15"/>
      <c r="D9" s="15"/>
      <c r="E9" s="16"/>
      <c r="F9" s="17">
        <f>Costos_Variables!AA14</f>
        <v>6550000</v>
      </c>
    </row>
    <row r="10" ht="26.25" customHeight="1">
      <c r="A10" s="14" t="s">
        <v>14</v>
      </c>
      <c r="B10" s="15"/>
      <c r="C10" s="15"/>
      <c r="D10" s="15"/>
      <c r="E10" s="16"/>
      <c r="F10" s="17">
        <f>Costos_Fijos!AA13</f>
        <v>5780000</v>
      </c>
    </row>
    <row r="11" ht="26.25" customHeight="1">
      <c r="A11" s="14" t="s">
        <v>15</v>
      </c>
      <c r="B11" s="15"/>
      <c r="C11" s="15"/>
      <c r="D11" s="15"/>
      <c r="E11" s="16"/>
      <c r="F11" s="17">
        <f>Costos_Directos!AA12</f>
        <v>3400000</v>
      </c>
    </row>
    <row r="12" ht="26.25" customHeight="1">
      <c r="A12" s="14" t="s">
        <v>16</v>
      </c>
      <c r="B12" s="15"/>
      <c r="C12" s="15"/>
      <c r="D12" s="15"/>
      <c r="E12" s="16"/>
      <c r="F12" s="17">
        <f>Costos_Indirectos!AA11</f>
        <v>670000</v>
      </c>
    </row>
    <row r="13">
      <c r="A13" s="18" t="s">
        <v>17</v>
      </c>
      <c r="B13" s="15"/>
      <c r="C13" s="15"/>
      <c r="D13" s="15"/>
      <c r="E13" s="16"/>
      <c r="F13" s="17">
        <f>Costos_Calidad!AA14</f>
        <v>10000000</v>
      </c>
    </row>
    <row r="15" ht="21.75" customHeight="1">
      <c r="A15" s="19" t="s">
        <v>18</v>
      </c>
      <c r="B15" s="20"/>
      <c r="C15" s="20"/>
      <c r="D15" s="20"/>
      <c r="E15" s="21"/>
      <c r="F15" s="22">
        <f>SUM(F7:F13)</f>
        <v>39430000</v>
      </c>
    </row>
    <row r="16" ht="25.5" customHeight="1">
      <c r="A16" s="23" t="s">
        <v>19</v>
      </c>
      <c r="B16" s="2"/>
      <c r="C16" s="2"/>
      <c r="D16" s="2"/>
      <c r="E16" s="3"/>
      <c r="F16" s="24">
        <f>F15</f>
        <v>39430000</v>
      </c>
    </row>
    <row r="18" ht="15.75" customHeight="1">
      <c r="A18" s="25" t="s">
        <v>20</v>
      </c>
    </row>
    <row r="19" ht="15.0" customHeight="1">
      <c r="A19" s="26" t="s">
        <v>21</v>
      </c>
    </row>
    <row r="20" ht="15.0" customHeight="1">
      <c r="A20" s="26" t="s">
        <v>22</v>
      </c>
    </row>
    <row r="21" ht="15.0" customHeight="1">
      <c r="A21" s="26" t="s">
        <v>23</v>
      </c>
    </row>
    <row r="22" ht="15.0" customHeight="1">
      <c r="A22" s="26" t="s">
        <v>24</v>
      </c>
    </row>
    <row r="23" ht="15.0" customHeight="1">
      <c r="A23" s="26" t="s">
        <v>25</v>
      </c>
    </row>
    <row r="24" ht="15.0" customHeight="1">
      <c r="A24" s="26" t="s">
        <v>26</v>
      </c>
    </row>
    <row r="25" ht="15.0" customHeight="1">
      <c r="A25" s="26" t="s">
        <v>27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9">
    <mergeCell ref="A1:F1"/>
    <mergeCell ref="A6:E6"/>
    <mergeCell ref="A7:E7"/>
    <mergeCell ref="A8:E8"/>
    <mergeCell ref="A9:E9"/>
    <mergeCell ref="A10:E10"/>
    <mergeCell ref="A11:E11"/>
    <mergeCell ref="A19:F19"/>
    <mergeCell ref="A20:F20"/>
    <mergeCell ref="A21:F21"/>
    <mergeCell ref="A22:F22"/>
    <mergeCell ref="A23:F23"/>
    <mergeCell ref="A24:F24"/>
    <mergeCell ref="A25:F25"/>
    <mergeCell ref="A12:E12"/>
    <mergeCell ref="A13:E13"/>
    <mergeCell ref="A15:E15"/>
    <mergeCell ref="A16:E16"/>
    <mergeCell ref="A18:F18"/>
  </mergeCells>
  <hyperlinks>
    <hyperlink display="Tipo de Costo" location="Costos_Oportunidad!A1" ref="A6"/>
    <hyperlink display="COSTO DE OPORTUNIDAD" location="Costos_Hundidos!A1" ref="A7"/>
    <hyperlink display="COSTOS HUNDIDOS" location="Costos_Variables!A1" ref="A8"/>
    <hyperlink display="COSTOS VARIABLES" location="Costos_Fijos!A1" ref="A9"/>
    <hyperlink display="COSTOS FIJOS" location="Costos_Directos!A1" ref="A10"/>
    <hyperlink display="COSTOS DIRECTOS" location="Costos_Indirectos!A1" ref="A11"/>
    <hyperlink display="COSTOS INDIRECTOS" location="Costos_Calidad!A1" ref="A12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6.14"/>
    <col customWidth="1" min="2" max="2" width="22.0"/>
    <col customWidth="1" min="3" max="3" width="8.0"/>
    <col customWidth="1" min="4" max="4" width="12.0"/>
    <col customWidth="1" min="5" max="5" width="8.0"/>
    <col customWidth="1" min="6" max="6" width="12.0"/>
    <col customWidth="1" min="7" max="7" width="8.0"/>
    <col customWidth="1" min="8" max="8" width="12.0"/>
    <col customWidth="1" min="9" max="9" width="8.0"/>
    <col customWidth="1" min="10" max="10" width="12.0"/>
    <col customWidth="1" min="11" max="11" width="8.0"/>
    <col customWidth="1" min="12" max="12" width="12.0"/>
    <col customWidth="1" min="13" max="13" width="8.0"/>
    <col customWidth="1" min="14" max="14" width="12.0"/>
    <col customWidth="1" min="15" max="15" width="8.0"/>
    <col customWidth="1" min="16" max="16" width="12.0"/>
    <col customWidth="1" min="17" max="17" width="8.0"/>
    <col customWidth="1" min="18" max="18" width="12.0"/>
    <col customWidth="1" min="19" max="19" width="8.0"/>
    <col customWidth="1" min="20" max="20" width="12.0"/>
    <col customWidth="1" min="21" max="21" width="8.0"/>
    <col customWidth="1" min="22" max="22" width="12.0"/>
    <col customWidth="1" min="23" max="23" width="8.0"/>
    <col customWidth="1" min="24" max="24" width="12.0"/>
    <col customWidth="1" min="25" max="25" width="8.0"/>
    <col customWidth="1" min="26" max="26" width="12.0"/>
    <col customWidth="1" min="27" max="27" width="16.0"/>
  </cols>
  <sheetData>
    <row r="1" ht="27.75" customHeight="1">
      <c r="A1" s="27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 ht="31.5" customHeight="1">
      <c r="A2" s="28" t="s">
        <v>29</v>
      </c>
    </row>
    <row r="3" ht="31.5" customHeight="1">
      <c r="A3" s="29"/>
    </row>
    <row r="4" ht="30.0" customHeight="1">
      <c r="A4" s="30"/>
      <c r="C4" s="31" t="s">
        <v>30</v>
      </c>
      <c r="D4" s="21"/>
      <c r="E4" s="31" t="s">
        <v>31</v>
      </c>
      <c r="F4" s="21"/>
      <c r="G4" s="31" t="s">
        <v>32</v>
      </c>
      <c r="H4" s="21"/>
      <c r="I4" s="31" t="s">
        <v>33</v>
      </c>
      <c r="J4" s="21"/>
      <c r="K4" s="32" t="s">
        <v>34</v>
      </c>
      <c r="L4" s="21"/>
      <c r="M4" s="32" t="s">
        <v>35</v>
      </c>
      <c r="N4" s="21"/>
      <c r="O4" s="32" t="s">
        <v>36</v>
      </c>
      <c r="P4" s="21"/>
      <c r="Q4" s="32" t="s">
        <v>37</v>
      </c>
      <c r="R4" s="21"/>
      <c r="S4" s="32" t="s">
        <v>38</v>
      </c>
      <c r="T4" s="21"/>
      <c r="U4" s="32" t="s">
        <v>39</v>
      </c>
      <c r="V4" s="21"/>
      <c r="W4" s="32" t="s">
        <v>40</v>
      </c>
      <c r="X4" s="21"/>
      <c r="Y4" s="32" t="s">
        <v>41</v>
      </c>
      <c r="Z4" s="21"/>
      <c r="AA4" s="33" t="s">
        <v>42</v>
      </c>
    </row>
    <row r="5" ht="30.0" customHeight="1">
      <c r="A5" s="34" t="s">
        <v>43</v>
      </c>
      <c r="B5" s="34" t="s">
        <v>44</v>
      </c>
      <c r="C5" s="35" t="s">
        <v>45</v>
      </c>
      <c r="D5" s="35" t="s">
        <v>46</v>
      </c>
      <c r="E5" s="35" t="s">
        <v>45</v>
      </c>
      <c r="F5" s="35" t="s">
        <v>46</v>
      </c>
      <c r="G5" s="35" t="s">
        <v>45</v>
      </c>
      <c r="H5" s="35" t="s">
        <v>46</v>
      </c>
      <c r="I5" s="35" t="s">
        <v>45</v>
      </c>
      <c r="J5" s="35" t="s">
        <v>46</v>
      </c>
      <c r="K5" s="35" t="s">
        <v>45</v>
      </c>
      <c r="L5" s="35" t="s">
        <v>46</v>
      </c>
      <c r="M5" s="35" t="s">
        <v>45</v>
      </c>
      <c r="N5" s="35" t="s">
        <v>46</v>
      </c>
      <c r="O5" s="35" t="s">
        <v>45</v>
      </c>
      <c r="P5" s="35" t="s">
        <v>46</v>
      </c>
      <c r="Q5" s="35" t="s">
        <v>45</v>
      </c>
      <c r="R5" s="35" t="s">
        <v>46</v>
      </c>
      <c r="S5" s="35" t="s">
        <v>45</v>
      </c>
      <c r="T5" s="35" t="s">
        <v>46</v>
      </c>
      <c r="U5" s="35" t="s">
        <v>45</v>
      </c>
      <c r="V5" s="35" t="s">
        <v>46</v>
      </c>
      <c r="W5" s="35" t="s">
        <v>45</v>
      </c>
      <c r="X5" s="35" t="s">
        <v>46</v>
      </c>
      <c r="Y5" s="35" t="s">
        <v>45</v>
      </c>
      <c r="Z5" s="35" t="s">
        <v>46</v>
      </c>
      <c r="AA5" s="33" t="s">
        <v>42</v>
      </c>
    </row>
    <row r="6" ht="18.0" customHeight="1">
      <c r="A6" s="36" t="s">
        <v>47</v>
      </c>
      <c r="B6" s="37">
        <v>800000.0</v>
      </c>
      <c r="C6" s="38">
        <v>100.0</v>
      </c>
      <c r="D6" s="39">
        <f t="shared" ref="D6:D9" si="1">($B6*($C6/100))</f>
        <v>800000</v>
      </c>
      <c r="E6" s="40">
        <v>0.0</v>
      </c>
      <c r="F6" s="39">
        <f t="shared" ref="F6:F9" si="2">($B6*($E6/100))</f>
        <v>0</v>
      </c>
      <c r="G6" s="40">
        <v>0.0</v>
      </c>
      <c r="H6" s="39">
        <f t="shared" ref="H6:H9" si="3">($B6*($G6/100))</f>
        <v>0</v>
      </c>
      <c r="I6" s="40">
        <v>0.0</v>
      </c>
      <c r="J6" s="39">
        <f t="shared" ref="J6:J9" si="4">($B6*($I6/100))</f>
        <v>0</v>
      </c>
      <c r="K6" s="38"/>
      <c r="L6" s="39"/>
      <c r="M6" s="38"/>
      <c r="N6" s="39"/>
      <c r="O6" s="38"/>
      <c r="P6" s="39"/>
      <c r="Q6" s="38"/>
      <c r="R6" s="39"/>
      <c r="S6" s="38"/>
      <c r="T6" s="39"/>
      <c r="U6" s="38"/>
      <c r="V6" s="39"/>
      <c r="W6" s="38"/>
      <c r="X6" s="39"/>
      <c r="Y6" s="38"/>
      <c r="Z6" s="39"/>
      <c r="AA6" s="41">
        <f t="shared" ref="AA6:AA9" si="5">D6+F6+H6+J6+L6+N6+P6+R6+T6+V6+X6+Z6</f>
        <v>800000</v>
      </c>
    </row>
    <row r="7" ht="18.0" customHeight="1">
      <c r="A7" s="42" t="s">
        <v>48</v>
      </c>
      <c r="B7" s="43">
        <v>900000.0</v>
      </c>
      <c r="C7" s="44">
        <v>100.0</v>
      </c>
      <c r="D7" s="45">
        <f t="shared" si="1"/>
        <v>900000</v>
      </c>
      <c r="E7" s="46">
        <v>0.0</v>
      </c>
      <c r="F7" s="45">
        <f t="shared" si="2"/>
        <v>0</v>
      </c>
      <c r="G7" s="46">
        <v>0.0</v>
      </c>
      <c r="H7" s="45">
        <f t="shared" si="3"/>
        <v>0</v>
      </c>
      <c r="I7" s="46">
        <v>0.0</v>
      </c>
      <c r="J7" s="45">
        <f t="shared" si="4"/>
        <v>0</v>
      </c>
      <c r="K7" s="44"/>
      <c r="L7" s="45"/>
      <c r="M7" s="44"/>
      <c r="N7" s="45"/>
      <c r="O7" s="44"/>
      <c r="P7" s="45"/>
      <c r="Q7" s="44"/>
      <c r="R7" s="45"/>
      <c r="S7" s="44"/>
      <c r="T7" s="45"/>
      <c r="U7" s="44"/>
      <c r="V7" s="45"/>
      <c r="W7" s="44"/>
      <c r="X7" s="45"/>
      <c r="Y7" s="44"/>
      <c r="Z7" s="45"/>
      <c r="AA7" s="41">
        <f t="shared" si="5"/>
        <v>900000</v>
      </c>
    </row>
    <row r="8" ht="18.0" customHeight="1">
      <c r="A8" s="36" t="s">
        <v>49</v>
      </c>
      <c r="B8" s="37">
        <v>1500000.0</v>
      </c>
      <c r="C8" s="40">
        <v>0.0</v>
      </c>
      <c r="D8" s="39">
        <f t="shared" si="1"/>
        <v>0</v>
      </c>
      <c r="E8" s="40">
        <v>0.0</v>
      </c>
      <c r="F8" s="39">
        <f t="shared" si="2"/>
        <v>0</v>
      </c>
      <c r="G8" s="40">
        <v>0.0</v>
      </c>
      <c r="H8" s="39">
        <f t="shared" si="3"/>
        <v>0</v>
      </c>
      <c r="I8" s="38">
        <v>100.0</v>
      </c>
      <c r="J8" s="39">
        <f t="shared" si="4"/>
        <v>1500000</v>
      </c>
      <c r="K8" s="38"/>
      <c r="L8" s="39"/>
      <c r="M8" s="38"/>
      <c r="N8" s="39"/>
      <c r="O8" s="38"/>
      <c r="P8" s="39"/>
      <c r="Q8" s="38"/>
      <c r="R8" s="39"/>
      <c r="S8" s="38"/>
      <c r="T8" s="39"/>
      <c r="U8" s="38"/>
      <c r="V8" s="39"/>
      <c r="W8" s="38"/>
      <c r="X8" s="39"/>
      <c r="Y8" s="38"/>
      <c r="Z8" s="39"/>
      <c r="AA8" s="41">
        <f t="shared" si="5"/>
        <v>1500000</v>
      </c>
    </row>
    <row r="9" ht="18.0" customHeight="1">
      <c r="A9" s="42" t="s">
        <v>50</v>
      </c>
      <c r="B9" s="43">
        <v>1920000.0</v>
      </c>
      <c r="C9" s="44">
        <v>100.0</v>
      </c>
      <c r="D9" s="45">
        <f t="shared" si="1"/>
        <v>1920000</v>
      </c>
      <c r="E9" s="44">
        <v>100.0</v>
      </c>
      <c r="F9" s="45">
        <f t="shared" si="2"/>
        <v>1920000</v>
      </c>
      <c r="G9" s="44">
        <v>100.0</v>
      </c>
      <c r="H9" s="45">
        <f t="shared" si="3"/>
        <v>1920000</v>
      </c>
      <c r="I9" s="44">
        <v>100.0</v>
      </c>
      <c r="J9" s="45">
        <f t="shared" si="4"/>
        <v>1920000</v>
      </c>
      <c r="K9" s="44"/>
      <c r="L9" s="45"/>
      <c r="M9" s="44"/>
      <c r="N9" s="45"/>
      <c r="O9" s="44"/>
      <c r="P9" s="45"/>
      <c r="Q9" s="44"/>
      <c r="R9" s="45"/>
      <c r="S9" s="44"/>
      <c r="T9" s="45"/>
      <c r="U9" s="44"/>
      <c r="V9" s="45"/>
      <c r="W9" s="44"/>
      <c r="X9" s="45"/>
      <c r="Y9" s="44"/>
      <c r="Z9" s="45"/>
      <c r="AA9" s="41">
        <f t="shared" si="5"/>
        <v>7680000</v>
      </c>
    </row>
    <row r="10">
      <c r="B10" s="47"/>
      <c r="D10" s="47"/>
      <c r="F10" s="47"/>
      <c r="H10" s="47"/>
      <c r="J10" s="47"/>
      <c r="L10" s="47"/>
      <c r="N10" s="47"/>
      <c r="P10" s="47"/>
      <c r="R10" s="47"/>
      <c r="T10" s="47"/>
      <c r="V10" s="47"/>
      <c r="X10" s="47"/>
      <c r="Z10" s="47"/>
      <c r="AA10" s="47"/>
    </row>
    <row r="11" ht="19.5" customHeight="1">
      <c r="B11" s="47"/>
      <c r="D11" s="47"/>
      <c r="F11" s="47"/>
      <c r="H11" s="47"/>
      <c r="J11" s="47"/>
      <c r="L11" s="47"/>
      <c r="N11" s="47"/>
      <c r="P11" s="47"/>
      <c r="R11" s="47"/>
      <c r="T11" s="47"/>
      <c r="V11" s="47"/>
      <c r="X11" s="47"/>
      <c r="Z11" s="48" t="s">
        <v>51</v>
      </c>
      <c r="AA11" s="49">
        <f>SUM(AA6:AA9)</f>
        <v>10880000</v>
      </c>
    </row>
    <row r="12">
      <c r="B12" s="47"/>
      <c r="D12" s="47"/>
      <c r="F12" s="47"/>
      <c r="H12" s="47"/>
      <c r="J12" s="47"/>
      <c r="L12" s="47"/>
      <c r="N12" s="47"/>
      <c r="P12" s="47"/>
      <c r="R12" s="47"/>
      <c r="T12" s="47"/>
      <c r="V12" s="47"/>
      <c r="X12" s="47"/>
      <c r="Z12" s="47"/>
      <c r="AA12" s="47"/>
    </row>
    <row r="14">
      <c r="Z14" s="50"/>
      <c r="AA14" s="5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O4:P4"/>
    <mergeCell ref="Q4:R4"/>
    <mergeCell ref="S4:T4"/>
    <mergeCell ref="U4:V4"/>
    <mergeCell ref="W4:X4"/>
    <mergeCell ref="Y4:Z4"/>
    <mergeCell ref="A1:AA1"/>
    <mergeCell ref="C4:D4"/>
    <mergeCell ref="E4:F4"/>
    <mergeCell ref="G4:H4"/>
    <mergeCell ref="I4:J4"/>
    <mergeCell ref="K4:L4"/>
    <mergeCell ref="M4:N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7.29"/>
    <col customWidth="1" min="2" max="2" width="22.0"/>
    <col customWidth="1" min="3" max="3" width="8.0"/>
    <col customWidth="1" min="4" max="4" width="12.0"/>
    <col customWidth="1" min="5" max="5" width="8.0"/>
    <col customWidth="1" min="6" max="6" width="12.0"/>
    <col customWidth="1" min="7" max="7" width="8.0"/>
    <col customWidth="1" min="8" max="8" width="12.0"/>
    <col customWidth="1" min="9" max="9" width="8.0"/>
    <col customWidth="1" min="10" max="10" width="12.0"/>
    <col customWidth="1" min="11" max="11" width="8.0"/>
    <col customWidth="1" min="12" max="12" width="12.0"/>
    <col customWidth="1" min="13" max="13" width="8.0"/>
    <col customWidth="1" min="14" max="14" width="12.0"/>
    <col customWidth="1" min="15" max="15" width="8.0"/>
    <col customWidth="1" min="16" max="16" width="12.0"/>
    <col customWidth="1" min="17" max="17" width="8.0"/>
    <col customWidth="1" min="18" max="18" width="12.0"/>
    <col customWidth="1" min="19" max="19" width="8.0"/>
    <col customWidth="1" min="20" max="20" width="12.0"/>
    <col customWidth="1" min="21" max="21" width="8.0"/>
    <col customWidth="1" min="22" max="22" width="12.0"/>
    <col customWidth="1" min="23" max="23" width="8.0"/>
    <col customWidth="1" min="24" max="24" width="12.0"/>
    <col customWidth="1" min="25" max="25" width="8.0"/>
    <col customWidth="1" min="26" max="26" width="12.0"/>
    <col customWidth="1" min="27" max="27" width="16.0"/>
  </cols>
  <sheetData>
    <row r="1" ht="27.75" customHeight="1">
      <c r="A1" s="27" t="s">
        <v>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 ht="31.5" customHeight="1">
      <c r="A2" s="28" t="s">
        <v>29</v>
      </c>
    </row>
    <row r="3" ht="31.5" customHeight="1">
      <c r="A3" s="29"/>
    </row>
    <row r="4" ht="30.0" customHeight="1">
      <c r="A4" s="30"/>
      <c r="C4" s="31" t="s">
        <v>30</v>
      </c>
      <c r="D4" s="21"/>
      <c r="E4" s="31" t="s">
        <v>31</v>
      </c>
      <c r="F4" s="21"/>
      <c r="G4" s="31" t="s">
        <v>32</v>
      </c>
      <c r="H4" s="21"/>
      <c r="I4" s="31" t="s">
        <v>33</v>
      </c>
      <c r="J4" s="21"/>
      <c r="K4" s="32" t="s">
        <v>34</v>
      </c>
      <c r="L4" s="21"/>
      <c r="M4" s="32" t="s">
        <v>35</v>
      </c>
      <c r="N4" s="21"/>
      <c r="O4" s="32" t="s">
        <v>36</v>
      </c>
      <c r="P4" s="21"/>
      <c r="Q4" s="32" t="s">
        <v>37</v>
      </c>
      <c r="R4" s="21"/>
      <c r="S4" s="32" t="s">
        <v>38</v>
      </c>
      <c r="T4" s="21"/>
      <c r="U4" s="32" t="s">
        <v>39</v>
      </c>
      <c r="V4" s="21"/>
      <c r="W4" s="32" t="s">
        <v>40</v>
      </c>
      <c r="X4" s="21"/>
      <c r="Y4" s="32" t="s">
        <v>41</v>
      </c>
      <c r="Z4" s="21"/>
      <c r="AA4" s="33" t="s">
        <v>42</v>
      </c>
    </row>
    <row r="5" ht="30.0" customHeight="1">
      <c r="A5" s="34" t="s">
        <v>43</v>
      </c>
      <c r="B5" s="34" t="s">
        <v>44</v>
      </c>
      <c r="C5" s="35" t="s">
        <v>45</v>
      </c>
      <c r="D5" s="35" t="s">
        <v>46</v>
      </c>
      <c r="E5" s="35" t="s">
        <v>45</v>
      </c>
      <c r="F5" s="35" t="s">
        <v>46</v>
      </c>
      <c r="G5" s="35" t="s">
        <v>45</v>
      </c>
      <c r="H5" s="35" t="s">
        <v>46</v>
      </c>
      <c r="I5" s="35" t="s">
        <v>45</v>
      </c>
      <c r="J5" s="35" t="s">
        <v>46</v>
      </c>
      <c r="K5" s="35" t="s">
        <v>45</v>
      </c>
      <c r="L5" s="35" t="s">
        <v>46</v>
      </c>
      <c r="M5" s="35" t="s">
        <v>45</v>
      </c>
      <c r="N5" s="35" t="s">
        <v>46</v>
      </c>
      <c r="O5" s="35" t="s">
        <v>45</v>
      </c>
      <c r="P5" s="35" t="s">
        <v>46</v>
      </c>
      <c r="Q5" s="35" t="s">
        <v>45</v>
      </c>
      <c r="R5" s="35" t="s">
        <v>46</v>
      </c>
      <c r="S5" s="35" t="s">
        <v>45</v>
      </c>
      <c r="T5" s="35" t="s">
        <v>46</v>
      </c>
      <c r="U5" s="35" t="s">
        <v>45</v>
      </c>
      <c r="V5" s="35" t="s">
        <v>46</v>
      </c>
      <c r="W5" s="35" t="s">
        <v>45</v>
      </c>
      <c r="X5" s="35" t="s">
        <v>46</v>
      </c>
      <c r="Y5" s="35" t="s">
        <v>45</v>
      </c>
      <c r="Z5" s="35" t="s">
        <v>46</v>
      </c>
      <c r="AA5" s="33" t="s">
        <v>42</v>
      </c>
    </row>
    <row r="6" ht="18.0" customHeight="1">
      <c r="A6" s="36" t="s">
        <v>53</v>
      </c>
      <c r="B6" s="37">
        <v>150000.0</v>
      </c>
      <c r="C6" s="38">
        <v>100.0</v>
      </c>
      <c r="D6" s="39">
        <f t="shared" ref="D6:D7" si="1">($B6*($C6/100))</f>
        <v>150000</v>
      </c>
      <c r="E6" s="40">
        <v>0.0</v>
      </c>
      <c r="F6" s="39">
        <f t="shared" ref="F6:F7" si="2">($B6*($E6/100))</f>
        <v>0</v>
      </c>
      <c r="G6" s="40">
        <v>0.0</v>
      </c>
      <c r="H6" s="39">
        <f t="shared" ref="H6:H7" si="3">($B6*($G6/100))</f>
        <v>0</v>
      </c>
      <c r="I6" s="40">
        <v>0.0</v>
      </c>
      <c r="J6" s="39">
        <f t="shared" ref="J6:J7" si="4">($B6*($I6/100))</f>
        <v>0</v>
      </c>
      <c r="K6" s="38"/>
      <c r="L6" s="39"/>
      <c r="M6" s="38"/>
      <c r="N6" s="39"/>
      <c r="O6" s="38"/>
      <c r="P6" s="39"/>
      <c r="Q6" s="38"/>
      <c r="R6" s="39"/>
      <c r="S6" s="38"/>
      <c r="T6" s="39"/>
      <c r="U6" s="38"/>
      <c r="V6" s="39"/>
      <c r="W6" s="38"/>
      <c r="X6" s="39"/>
      <c r="Y6" s="38"/>
      <c r="Z6" s="39"/>
      <c r="AA6" s="41">
        <f t="shared" ref="AA6:AA7" si="5">D6+F6+H6+J6+L6+N6+P6+R6+T6+V6+X6+Z6</f>
        <v>150000</v>
      </c>
    </row>
    <row r="7" ht="18.0" customHeight="1">
      <c r="A7" s="42" t="s">
        <v>54</v>
      </c>
      <c r="B7" s="43">
        <v>2000000.0</v>
      </c>
      <c r="C7" s="46">
        <v>0.0</v>
      </c>
      <c r="D7" s="45">
        <f t="shared" si="1"/>
        <v>0</v>
      </c>
      <c r="E7" s="46">
        <v>0.0</v>
      </c>
      <c r="F7" s="39">
        <f t="shared" si="2"/>
        <v>0</v>
      </c>
      <c r="G7" s="46">
        <v>0.0</v>
      </c>
      <c r="H7" s="39">
        <f t="shared" si="3"/>
        <v>0</v>
      </c>
      <c r="I7" s="46">
        <v>100.0</v>
      </c>
      <c r="J7" s="39">
        <f t="shared" si="4"/>
        <v>2000000</v>
      </c>
      <c r="K7" s="44"/>
      <c r="L7" s="45"/>
      <c r="M7" s="44"/>
      <c r="N7" s="45"/>
      <c r="O7" s="44"/>
      <c r="P7" s="45"/>
      <c r="Q7" s="44"/>
      <c r="R7" s="45"/>
      <c r="S7" s="44"/>
      <c r="T7" s="45"/>
      <c r="U7" s="44"/>
      <c r="V7" s="45"/>
      <c r="W7" s="44"/>
      <c r="X7" s="45"/>
      <c r="Y7" s="44"/>
      <c r="Z7" s="45"/>
      <c r="AA7" s="41">
        <f t="shared" si="5"/>
        <v>2000000</v>
      </c>
    </row>
    <row r="8">
      <c r="B8" s="47"/>
      <c r="D8" s="47"/>
      <c r="F8" s="47"/>
      <c r="H8" s="47"/>
      <c r="J8" s="47"/>
      <c r="L8" s="47"/>
      <c r="N8" s="47"/>
      <c r="P8" s="47"/>
      <c r="R8" s="47"/>
      <c r="T8" s="47"/>
      <c r="V8" s="47"/>
      <c r="X8" s="47"/>
      <c r="Z8" s="47"/>
      <c r="AA8" s="47"/>
    </row>
    <row r="9" ht="19.5" customHeight="1">
      <c r="B9" s="47"/>
      <c r="D9" s="47"/>
      <c r="F9" s="47"/>
      <c r="H9" s="47"/>
      <c r="J9" s="47"/>
      <c r="L9" s="47"/>
      <c r="N9" s="47"/>
      <c r="P9" s="47"/>
      <c r="R9" s="47"/>
      <c r="T9" s="47"/>
      <c r="V9" s="47"/>
      <c r="X9" s="47"/>
      <c r="Z9" s="48" t="s">
        <v>51</v>
      </c>
      <c r="AA9" s="49">
        <f>SUM(AA6:AA7)</f>
        <v>2150000</v>
      </c>
    </row>
    <row r="10">
      <c r="B10" s="47"/>
      <c r="D10" s="47"/>
      <c r="F10" s="47"/>
      <c r="H10" s="47"/>
      <c r="J10" s="47"/>
      <c r="L10" s="47"/>
      <c r="N10" s="47"/>
      <c r="P10" s="47"/>
      <c r="R10" s="47"/>
      <c r="T10" s="47"/>
      <c r="V10" s="47"/>
      <c r="X10" s="47"/>
      <c r="Z10" s="47"/>
      <c r="AA10" s="47"/>
    </row>
    <row r="12">
      <c r="Z12" s="50"/>
      <c r="AA12" s="5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">
    <mergeCell ref="O4:P4"/>
    <mergeCell ref="Q4:R4"/>
    <mergeCell ref="S4:T4"/>
    <mergeCell ref="U4:V4"/>
    <mergeCell ref="W4:X4"/>
    <mergeCell ref="Y4:Z4"/>
    <mergeCell ref="A1:AA1"/>
    <mergeCell ref="C4:D4"/>
    <mergeCell ref="E4:F4"/>
    <mergeCell ref="G4:H4"/>
    <mergeCell ref="I4:J4"/>
    <mergeCell ref="K4:L4"/>
    <mergeCell ref="M4:N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6.0"/>
    <col customWidth="1" min="2" max="2" width="22.0"/>
    <col customWidth="1" min="3" max="3" width="8.0"/>
    <col customWidth="1" min="4" max="4" width="12.0"/>
    <col customWidth="1" min="5" max="5" width="8.0"/>
    <col customWidth="1" min="6" max="6" width="12.0"/>
    <col customWidth="1" min="7" max="7" width="8.0"/>
    <col customWidth="1" min="8" max="8" width="12.0"/>
    <col customWidth="1" min="9" max="9" width="8.0"/>
    <col customWidth="1" min="10" max="10" width="12.0"/>
    <col customWidth="1" min="11" max="11" width="8.0"/>
    <col customWidth="1" min="12" max="12" width="12.0"/>
    <col customWidth="1" min="13" max="13" width="8.0"/>
    <col customWidth="1" min="14" max="14" width="12.0"/>
    <col customWidth="1" min="15" max="15" width="8.0"/>
    <col customWidth="1" min="16" max="16" width="12.0"/>
    <col customWidth="1" min="17" max="17" width="8.0"/>
    <col customWidth="1" min="18" max="18" width="12.0"/>
    <col customWidth="1" min="19" max="19" width="8.0"/>
    <col customWidth="1" min="20" max="20" width="12.0"/>
    <col customWidth="1" min="21" max="21" width="8.0"/>
    <col customWidth="1" min="22" max="22" width="12.0"/>
    <col customWidth="1" min="23" max="23" width="8.0"/>
    <col customWidth="1" min="24" max="24" width="12.0"/>
    <col customWidth="1" min="25" max="25" width="8.0"/>
    <col customWidth="1" min="26" max="26" width="12.0"/>
    <col customWidth="1" min="27" max="27" width="16.0"/>
  </cols>
  <sheetData>
    <row r="1" ht="27.75" customHeight="1">
      <c r="A1" s="27" t="s">
        <v>55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 ht="31.5" customHeight="1">
      <c r="A2" s="28" t="s">
        <v>29</v>
      </c>
    </row>
    <row r="3" ht="31.5" customHeight="1">
      <c r="A3" s="29"/>
    </row>
    <row r="4" ht="30.0" customHeight="1">
      <c r="A4" s="30"/>
      <c r="C4" s="31" t="s">
        <v>30</v>
      </c>
      <c r="D4" s="21"/>
      <c r="E4" s="31" t="s">
        <v>31</v>
      </c>
      <c r="F4" s="21"/>
      <c r="G4" s="31" t="s">
        <v>32</v>
      </c>
      <c r="H4" s="21"/>
      <c r="I4" s="31" t="s">
        <v>33</v>
      </c>
      <c r="J4" s="21"/>
      <c r="K4" s="32" t="s">
        <v>34</v>
      </c>
      <c r="L4" s="21"/>
      <c r="M4" s="32" t="s">
        <v>35</v>
      </c>
      <c r="N4" s="21"/>
      <c r="O4" s="32" t="s">
        <v>36</v>
      </c>
      <c r="P4" s="21"/>
      <c r="Q4" s="32" t="s">
        <v>37</v>
      </c>
      <c r="R4" s="21"/>
      <c r="S4" s="32" t="s">
        <v>38</v>
      </c>
      <c r="T4" s="21"/>
      <c r="U4" s="32" t="s">
        <v>39</v>
      </c>
      <c r="V4" s="21"/>
      <c r="W4" s="32" t="s">
        <v>40</v>
      </c>
      <c r="X4" s="21"/>
      <c r="Y4" s="32" t="s">
        <v>41</v>
      </c>
      <c r="Z4" s="21"/>
      <c r="AA4" s="33" t="s">
        <v>42</v>
      </c>
    </row>
    <row r="5" ht="30.0" customHeight="1">
      <c r="A5" s="34" t="s">
        <v>43</v>
      </c>
      <c r="B5" s="34" t="s">
        <v>44</v>
      </c>
      <c r="C5" s="35" t="s">
        <v>45</v>
      </c>
      <c r="D5" s="35" t="s">
        <v>46</v>
      </c>
      <c r="E5" s="35" t="s">
        <v>45</v>
      </c>
      <c r="F5" s="35" t="s">
        <v>46</v>
      </c>
      <c r="G5" s="35" t="s">
        <v>45</v>
      </c>
      <c r="H5" s="35" t="s">
        <v>46</v>
      </c>
      <c r="I5" s="35" t="s">
        <v>45</v>
      </c>
      <c r="J5" s="35" t="s">
        <v>46</v>
      </c>
      <c r="K5" s="35" t="s">
        <v>45</v>
      </c>
      <c r="L5" s="35" t="s">
        <v>46</v>
      </c>
      <c r="M5" s="35" t="s">
        <v>45</v>
      </c>
      <c r="N5" s="35" t="s">
        <v>46</v>
      </c>
      <c r="O5" s="35" t="s">
        <v>45</v>
      </c>
      <c r="P5" s="35" t="s">
        <v>46</v>
      </c>
      <c r="Q5" s="35" t="s">
        <v>45</v>
      </c>
      <c r="R5" s="35" t="s">
        <v>46</v>
      </c>
      <c r="S5" s="35" t="s">
        <v>45</v>
      </c>
      <c r="T5" s="35" t="s">
        <v>46</v>
      </c>
      <c r="U5" s="35" t="s">
        <v>45</v>
      </c>
      <c r="V5" s="35" t="s">
        <v>46</v>
      </c>
      <c r="W5" s="35" t="s">
        <v>45</v>
      </c>
      <c r="X5" s="35" t="s">
        <v>46</v>
      </c>
      <c r="Y5" s="35" t="s">
        <v>45</v>
      </c>
      <c r="Z5" s="35" t="s">
        <v>46</v>
      </c>
      <c r="AA5" s="33" t="s">
        <v>42</v>
      </c>
    </row>
    <row r="6" ht="18.0" customHeight="1">
      <c r="A6" s="36" t="s">
        <v>56</v>
      </c>
      <c r="B6" s="37">
        <v>37500.0</v>
      </c>
      <c r="C6" s="40">
        <v>100.0</v>
      </c>
      <c r="D6" s="39">
        <f t="shared" ref="D6:D12" si="1">($B6*($C6/100))</f>
        <v>37500</v>
      </c>
      <c r="E6" s="40">
        <v>100.0</v>
      </c>
      <c r="F6" s="39">
        <f t="shared" ref="F6:F9" si="2">($B6*($E6/100))</f>
        <v>37500</v>
      </c>
      <c r="G6" s="38">
        <v>100.0</v>
      </c>
      <c r="H6" s="39">
        <f t="shared" ref="H6:H9" si="3">($B6*($G6/100))</f>
        <v>37500</v>
      </c>
      <c r="I6" s="38">
        <v>100.0</v>
      </c>
      <c r="J6" s="39">
        <f t="shared" ref="J6:J9" si="4">($B6*($I6/100))</f>
        <v>37500</v>
      </c>
      <c r="K6" s="38"/>
      <c r="L6" s="39"/>
      <c r="M6" s="38"/>
      <c r="N6" s="39"/>
      <c r="O6" s="38"/>
      <c r="P6" s="39"/>
      <c r="Q6" s="38"/>
      <c r="R6" s="39"/>
      <c r="S6" s="38"/>
      <c r="T6" s="39"/>
      <c r="U6" s="38"/>
      <c r="V6" s="39"/>
      <c r="W6" s="38"/>
      <c r="X6" s="39"/>
      <c r="Y6" s="38"/>
      <c r="Z6" s="39"/>
      <c r="AA6" s="41">
        <f t="shared" ref="AA6:AA12" si="5">D6+F6+H6+J6+L6+N6+P6+R6+T6+V6+X6+Z6</f>
        <v>150000</v>
      </c>
    </row>
    <row r="7" ht="18.0" customHeight="1">
      <c r="A7" s="42" t="s">
        <v>57</v>
      </c>
      <c r="B7" s="43">
        <v>125000.0</v>
      </c>
      <c r="C7" s="46">
        <v>0.0</v>
      </c>
      <c r="D7" s="39">
        <f t="shared" si="1"/>
        <v>0</v>
      </c>
      <c r="E7" s="40">
        <v>100.0</v>
      </c>
      <c r="F7" s="45">
        <f t="shared" si="2"/>
        <v>125000</v>
      </c>
      <c r="G7" s="44">
        <v>100.0</v>
      </c>
      <c r="H7" s="45">
        <f t="shared" si="3"/>
        <v>125000</v>
      </c>
      <c r="I7" s="46">
        <v>200.0</v>
      </c>
      <c r="J7" s="45">
        <f t="shared" si="4"/>
        <v>250000</v>
      </c>
      <c r="K7" s="44"/>
      <c r="L7" s="45"/>
      <c r="M7" s="44"/>
      <c r="N7" s="45"/>
      <c r="O7" s="44"/>
      <c r="P7" s="45"/>
      <c r="Q7" s="44"/>
      <c r="R7" s="45"/>
      <c r="S7" s="44"/>
      <c r="T7" s="45"/>
      <c r="U7" s="44"/>
      <c r="V7" s="45"/>
      <c r="W7" s="44"/>
      <c r="X7" s="45"/>
      <c r="Y7" s="44"/>
      <c r="Z7" s="45"/>
      <c r="AA7" s="41">
        <f t="shared" si="5"/>
        <v>500000</v>
      </c>
    </row>
    <row r="8" ht="18.0" customHeight="1">
      <c r="A8" s="36" t="s">
        <v>58</v>
      </c>
      <c r="B8" s="37">
        <v>500000.0</v>
      </c>
      <c r="C8" s="40">
        <v>0.0</v>
      </c>
      <c r="D8" s="39">
        <f t="shared" si="1"/>
        <v>0</v>
      </c>
      <c r="E8" s="40">
        <v>100.0</v>
      </c>
      <c r="F8" s="39">
        <f t="shared" si="2"/>
        <v>500000</v>
      </c>
      <c r="G8" s="38">
        <v>100.0</v>
      </c>
      <c r="H8" s="39">
        <f t="shared" si="3"/>
        <v>500000</v>
      </c>
      <c r="I8" s="46">
        <v>200.0</v>
      </c>
      <c r="J8" s="39">
        <f t="shared" si="4"/>
        <v>1000000</v>
      </c>
      <c r="K8" s="38"/>
      <c r="L8" s="39"/>
      <c r="M8" s="38"/>
      <c r="N8" s="39"/>
      <c r="O8" s="38"/>
      <c r="P8" s="39"/>
      <c r="Q8" s="38"/>
      <c r="R8" s="39"/>
      <c r="S8" s="38"/>
      <c r="T8" s="39"/>
      <c r="U8" s="38"/>
      <c r="V8" s="39"/>
      <c r="W8" s="38"/>
      <c r="X8" s="39"/>
      <c r="Y8" s="38"/>
      <c r="Z8" s="39"/>
      <c r="AA8" s="41">
        <f t="shared" si="5"/>
        <v>2000000</v>
      </c>
    </row>
    <row r="9" ht="18.0" customHeight="1">
      <c r="A9" s="42" t="s">
        <v>59</v>
      </c>
      <c r="B9" s="43">
        <v>100000.0</v>
      </c>
      <c r="C9" s="46">
        <v>0.0</v>
      </c>
      <c r="D9" s="39">
        <f t="shared" si="1"/>
        <v>0</v>
      </c>
      <c r="E9" s="40">
        <v>100.0</v>
      </c>
      <c r="F9" s="45">
        <f t="shared" si="2"/>
        <v>100000</v>
      </c>
      <c r="G9" s="46">
        <v>100.0</v>
      </c>
      <c r="H9" s="45">
        <f t="shared" si="3"/>
        <v>100000</v>
      </c>
      <c r="I9" s="46">
        <v>200.0</v>
      </c>
      <c r="J9" s="45">
        <f t="shared" si="4"/>
        <v>200000</v>
      </c>
      <c r="K9" s="44"/>
      <c r="L9" s="45"/>
      <c r="M9" s="44"/>
      <c r="N9" s="45"/>
      <c r="O9" s="44"/>
      <c r="P9" s="45"/>
      <c r="Q9" s="44"/>
      <c r="R9" s="45"/>
      <c r="S9" s="44"/>
      <c r="T9" s="45"/>
      <c r="U9" s="44"/>
      <c r="V9" s="45"/>
      <c r="W9" s="44"/>
      <c r="X9" s="45"/>
      <c r="Y9" s="44"/>
      <c r="Z9" s="45"/>
      <c r="AA9" s="41">
        <f t="shared" si="5"/>
        <v>400000</v>
      </c>
    </row>
    <row r="10" ht="18.0" customHeight="1">
      <c r="A10" s="52" t="s">
        <v>60</v>
      </c>
      <c r="B10" s="53">
        <v>625000.0</v>
      </c>
      <c r="C10" s="46">
        <v>0.0</v>
      </c>
      <c r="D10" s="39">
        <f t="shared" si="1"/>
        <v>0</v>
      </c>
      <c r="E10" s="40">
        <v>100.0</v>
      </c>
      <c r="F10" s="54">
        <f t="shared" ref="F10:F12" si="6">($B10*($E10/100))</f>
        <v>625000</v>
      </c>
      <c r="G10" s="55">
        <v>100.0</v>
      </c>
      <c r="H10" s="54">
        <f t="shared" ref="H10:H12" si="7">($B10*($G10/100))</f>
        <v>625000</v>
      </c>
      <c r="I10" s="46">
        <v>200.0</v>
      </c>
      <c r="J10" s="54">
        <f t="shared" ref="J10:J12" si="8">($B10*($I10/100))</f>
        <v>1250000</v>
      </c>
      <c r="K10" s="56"/>
      <c r="L10" s="57"/>
      <c r="M10" s="56"/>
      <c r="N10" s="57"/>
      <c r="O10" s="56"/>
      <c r="P10" s="57"/>
      <c r="Q10" s="56"/>
      <c r="R10" s="57"/>
      <c r="S10" s="56"/>
      <c r="T10" s="57"/>
      <c r="U10" s="56"/>
      <c r="V10" s="57"/>
      <c r="W10" s="56"/>
      <c r="X10" s="57"/>
      <c r="Y10" s="56"/>
      <c r="Z10" s="57"/>
      <c r="AA10" s="58">
        <f t="shared" si="5"/>
        <v>2500000</v>
      </c>
    </row>
    <row r="11" ht="18.0" customHeight="1">
      <c r="A11" s="59" t="s">
        <v>61</v>
      </c>
      <c r="B11" s="60">
        <v>600000.0</v>
      </c>
      <c r="C11" s="46">
        <v>0.0</v>
      </c>
      <c r="D11" s="39">
        <f t="shared" si="1"/>
        <v>0</v>
      </c>
      <c r="E11" s="61">
        <v>0.0</v>
      </c>
      <c r="F11" s="62">
        <f t="shared" si="6"/>
        <v>0</v>
      </c>
      <c r="G11" s="61">
        <v>0.0</v>
      </c>
      <c r="H11" s="62">
        <f t="shared" si="7"/>
        <v>0</v>
      </c>
      <c r="I11" s="63">
        <v>100.0</v>
      </c>
      <c r="J11" s="62">
        <f t="shared" si="8"/>
        <v>600000</v>
      </c>
      <c r="K11" s="64"/>
      <c r="L11" s="65"/>
      <c r="M11" s="64"/>
      <c r="N11" s="65"/>
      <c r="O11" s="64"/>
      <c r="P11" s="65"/>
      <c r="Q11" s="64"/>
      <c r="R11" s="65"/>
      <c r="S11" s="64"/>
      <c r="T11" s="65"/>
      <c r="U11" s="64"/>
      <c r="V11" s="65"/>
      <c r="W11" s="64"/>
      <c r="X11" s="65"/>
      <c r="Y11" s="64"/>
      <c r="Z11" s="65"/>
      <c r="AA11" s="58">
        <f t="shared" si="5"/>
        <v>600000</v>
      </c>
    </row>
    <row r="12" ht="18.0" customHeight="1">
      <c r="A12" s="52" t="s">
        <v>62</v>
      </c>
      <c r="B12" s="53">
        <v>400000.0</v>
      </c>
      <c r="C12" s="46">
        <v>0.0</v>
      </c>
      <c r="D12" s="39">
        <f t="shared" si="1"/>
        <v>0</v>
      </c>
      <c r="E12" s="66">
        <v>0.0</v>
      </c>
      <c r="F12" s="54">
        <f t="shared" si="6"/>
        <v>0</v>
      </c>
      <c r="G12" s="66">
        <v>0.0</v>
      </c>
      <c r="H12" s="54">
        <f t="shared" si="7"/>
        <v>0</v>
      </c>
      <c r="I12" s="55">
        <v>100.0</v>
      </c>
      <c r="J12" s="54">
        <f t="shared" si="8"/>
        <v>400000</v>
      </c>
      <c r="K12" s="56"/>
      <c r="L12" s="57"/>
      <c r="M12" s="56"/>
      <c r="N12" s="57"/>
      <c r="O12" s="56"/>
      <c r="P12" s="57"/>
      <c r="Q12" s="56"/>
      <c r="R12" s="57"/>
      <c r="S12" s="56"/>
      <c r="T12" s="57"/>
      <c r="U12" s="56"/>
      <c r="V12" s="57"/>
      <c r="W12" s="56"/>
      <c r="X12" s="57"/>
      <c r="Y12" s="56"/>
      <c r="Z12" s="57"/>
      <c r="AA12" s="58">
        <f t="shared" si="5"/>
        <v>400000</v>
      </c>
    </row>
    <row r="13">
      <c r="B13" s="47"/>
      <c r="D13" s="47"/>
      <c r="F13" s="47"/>
      <c r="H13" s="47"/>
      <c r="J13" s="47"/>
      <c r="L13" s="47"/>
      <c r="N13" s="47"/>
      <c r="P13" s="47"/>
      <c r="R13" s="47"/>
      <c r="T13" s="47"/>
      <c r="V13" s="47"/>
      <c r="X13" s="47"/>
      <c r="Z13" s="47"/>
      <c r="AA13" s="47"/>
    </row>
    <row r="14" ht="19.5" customHeight="1">
      <c r="B14" s="47"/>
      <c r="D14" s="47"/>
      <c r="F14" s="47"/>
      <c r="H14" s="47"/>
      <c r="J14" s="47"/>
      <c r="L14" s="47"/>
      <c r="N14" s="47"/>
      <c r="P14" s="47"/>
      <c r="R14" s="47"/>
      <c r="T14" s="47"/>
      <c r="V14" s="47"/>
      <c r="X14" s="47"/>
      <c r="Z14" s="48" t="s">
        <v>51</v>
      </c>
      <c r="AA14" s="49">
        <f>SUM(AA6:AA12)</f>
        <v>6550000</v>
      </c>
    </row>
    <row r="16">
      <c r="Z16" s="50"/>
      <c r="AA16" s="5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3">
    <mergeCell ref="O4:P4"/>
    <mergeCell ref="Q4:R4"/>
    <mergeCell ref="S4:T4"/>
    <mergeCell ref="U4:V4"/>
    <mergeCell ref="W4:X4"/>
    <mergeCell ref="Y4:Z4"/>
    <mergeCell ref="A1:AA1"/>
    <mergeCell ref="C4:D4"/>
    <mergeCell ref="E4:F4"/>
    <mergeCell ref="G4:H4"/>
    <mergeCell ref="I4:J4"/>
    <mergeCell ref="K4:L4"/>
    <mergeCell ref="M4:N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6.0"/>
    <col customWidth="1" min="2" max="2" width="22.0"/>
    <col customWidth="1" min="3" max="3" width="8.0"/>
    <col customWidth="1" min="4" max="4" width="12.0"/>
    <col customWidth="1" min="5" max="5" width="8.0"/>
    <col customWidth="1" min="6" max="6" width="12.0"/>
    <col customWidth="1" min="7" max="7" width="8.0"/>
    <col customWidth="1" min="8" max="8" width="12.0"/>
    <col customWidth="1" min="9" max="9" width="8.0"/>
    <col customWidth="1" min="10" max="10" width="12.0"/>
    <col customWidth="1" min="11" max="11" width="8.0"/>
    <col customWidth="1" min="12" max="12" width="12.0"/>
    <col customWidth="1" min="13" max="13" width="8.0"/>
    <col customWidth="1" min="14" max="14" width="12.0"/>
    <col customWidth="1" min="15" max="15" width="8.0"/>
    <col customWidth="1" min="16" max="16" width="12.0"/>
    <col customWidth="1" min="17" max="17" width="8.0"/>
    <col customWidth="1" min="18" max="18" width="12.0"/>
    <col customWidth="1" min="19" max="19" width="8.0"/>
    <col customWidth="1" min="20" max="20" width="12.0"/>
    <col customWidth="1" min="21" max="21" width="8.0"/>
    <col customWidth="1" min="22" max="22" width="12.0"/>
    <col customWidth="1" min="23" max="23" width="8.0"/>
    <col customWidth="1" min="24" max="24" width="12.0"/>
    <col customWidth="1" min="25" max="25" width="8.0"/>
    <col customWidth="1" min="26" max="26" width="12.0"/>
    <col customWidth="1" min="27" max="27" width="16.0"/>
  </cols>
  <sheetData>
    <row r="1" ht="27.75" customHeight="1">
      <c r="A1" s="27" t="s">
        <v>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 ht="31.5" customHeight="1">
      <c r="A2" s="28" t="s">
        <v>29</v>
      </c>
    </row>
    <row r="3" ht="31.5" customHeight="1">
      <c r="A3" s="29"/>
    </row>
    <row r="4" ht="30.0" customHeight="1">
      <c r="A4" s="30"/>
      <c r="C4" s="31" t="s">
        <v>30</v>
      </c>
      <c r="D4" s="21"/>
      <c r="E4" s="31" t="s">
        <v>31</v>
      </c>
      <c r="F4" s="21"/>
      <c r="G4" s="31" t="s">
        <v>32</v>
      </c>
      <c r="H4" s="21"/>
      <c r="I4" s="31" t="s">
        <v>33</v>
      </c>
      <c r="J4" s="21"/>
      <c r="K4" s="32" t="s">
        <v>34</v>
      </c>
      <c r="L4" s="21"/>
      <c r="M4" s="32" t="s">
        <v>35</v>
      </c>
      <c r="N4" s="21"/>
      <c r="O4" s="32" t="s">
        <v>36</v>
      </c>
      <c r="P4" s="21"/>
      <c r="Q4" s="32" t="s">
        <v>37</v>
      </c>
      <c r="R4" s="21"/>
      <c r="S4" s="32" t="s">
        <v>38</v>
      </c>
      <c r="T4" s="21"/>
      <c r="U4" s="32" t="s">
        <v>39</v>
      </c>
      <c r="V4" s="21"/>
      <c r="W4" s="32" t="s">
        <v>40</v>
      </c>
      <c r="X4" s="21"/>
      <c r="Y4" s="32" t="s">
        <v>41</v>
      </c>
      <c r="Z4" s="21"/>
      <c r="AA4" s="33" t="s">
        <v>42</v>
      </c>
    </row>
    <row r="5" ht="30.0" customHeight="1">
      <c r="A5" s="34" t="s">
        <v>43</v>
      </c>
      <c r="B5" s="34" t="s">
        <v>44</v>
      </c>
      <c r="C5" s="35" t="s">
        <v>45</v>
      </c>
      <c r="D5" s="35" t="s">
        <v>46</v>
      </c>
      <c r="E5" s="35" t="s">
        <v>45</v>
      </c>
      <c r="F5" s="35" t="s">
        <v>46</v>
      </c>
      <c r="G5" s="35" t="s">
        <v>45</v>
      </c>
      <c r="H5" s="35" t="s">
        <v>46</v>
      </c>
      <c r="I5" s="35" t="s">
        <v>45</v>
      </c>
      <c r="J5" s="35" t="s">
        <v>46</v>
      </c>
      <c r="K5" s="35" t="s">
        <v>45</v>
      </c>
      <c r="L5" s="35" t="s">
        <v>46</v>
      </c>
      <c r="M5" s="35" t="s">
        <v>45</v>
      </c>
      <c r="N5" s="35" t="s">
        <v>46</v>
      </c>
      <c r="O5" s="35" t="s">
        <v>45</v>
      </c>
      <c r="P5" s="35" t="s">
        <v>46</v>
      </c>
      <c r="Q5" s="35" t="s">
        <v>45</v>
      </c>
      <c r="R5" s="35" t="s">
        <v>46</v>
      </c>
      <c r="S5" s="35" t="s">
        <v>45</v>
      </c>
      <c r="T5" s="35" t="s">
        <v>46</v>
      </c>
      <c r="U5" s="35" t="s">
        <v>45</v>
      </c>
      <c r="V5" s="35" t="s">
        <v>46</v>
      </c>
      <c r="W5" s="35" t="s">
        <v>45</v>
      </c>
      <c r="X5" s="35" t="s">
        <v>46</v>
      </c>
      <c r="Y5" s="35" t="s">
        <v>45</v>
      </c>
      <c r="Z5" s="35" t="s">
        <v>46</v>
      </c>
      <c r="AA5" s="33" t="s">
        <v>42</v>
      </c>
    </row>
    <row r="6" ht="18.0" customHeight="1">
      <c r="A6" s="36" t="s">
        <v>64</v>
      </c>
      <c r="B6" s="37">
        <v>150000.0</v>
      </c>
      <c r="C6" s="38">
        <v>100.0</v>
      </c>
      <c r="D6" s="39">
        <f t="shared" ref="D6:D11" si="1">($B6*($C6/100))</f>
        <v>150000</v>
      </c>
      <c r="E6" s="38">
        <v>100.0</v>
      </c>
      <c r="F6" s="39">
        <f t="shared" ref="F6:F11" si="2">($B6*($E6/100))</f>
        <v>150000</v>
      </c>
      <c r="G6" s="38">
        <v>100.0</v>
      </c>
      <c r="H6" s="39">
        <f t="shared" ref="H6:H11" si="3">($B6*($G6/100))</f>
        <v>150000</v>
      </c>
      <c r="I6" s="38">
        <v>100.0</v>
      </c>
      <c r="J6" s="39">
        <f t="shared" ref="J6:J11" si="4">($B6*($I6/100))</f>
        <v>150000</v>
      </c>
      <c r="K6" s="38"/>
      <c r="L6" s="39"/>
      <c r="M6" s="38"/>
      <c r="N6" s="39"/>
      <c r="O6" s="38"/>
      <c r="P6" s="39"/>
      <c r="Q6" s="38"/>
      <c r="R6" s="39"/>
      <c r="S6" s="38"/>
      <c r="T6" s="39"/>
      <c r="U6" s="38"/>
      <c r="V6" s="39"/>
      <c r="W6" s="38"/>
      <c r="X6" s="39"/>
      <c r="Y6" s="38"/>
      <c r="Z6" s="39"/>
      <c r="AA6" s="41">
        <f t="shared" ref="AA6:AA11" si="5">D6+F6+H6+J6+L6+N6+P6+R6+T6+V6+X6+Z6</f>
        <v>600000</v>
      </c>
    </row>
    <row r="7" ht="18.0" customHeight="1">
      <c r="A7" s="42" t="s">
        <v>65</v>
      </c>
      <c r="B7" s="43">
        <v>100000.0</v>
      </c>
      <c r="C7" s="44">
        <v>100.0</v>
      </c>
      <c r="D7" s="45">
        <f t="shared" si="1"/>
        <v>100000</v>
      </c>
      <c r="E7" s="44">
        <v>100.0</v>
      </c>
      <c r="F7" s="45">
        <f t="shared" si="2"/>
        <v>100000</v>
      </c>
      <c r="G7" s="44">
        <v>100.0</v>
      </c>
      <c r="H7" s="45">
        <f t="shared" si="3"/>
        <v>100000</v>
      </c>
      <c r="I7" s="44">
        <v>100.0</v>
      </c>
      <c r="J7" s="45">
        <f t="shared" si="4"/>
        <v>100000</v>
      </c>
      <c r="K7" s="44"/>
      <c r="L7" s="45"/>
      <c r="M7" s="44"/>
      <c r="N7" s="45"/>
      <c r="O7" s="44"/>
      <c r="P7" s="45"/>
      <c r="Q7" s="44"/>
      <c r="R7" s="45"/>
      <c r="S7" s="44"/>
      <c r="T7" s="45"/>
      <c r="U7" s="44"/>
      <c r="V7" s="45"/>
      <c r="W7" s="44"/>
      <c r="X7" s="45"/>
      <c r="Y7" s="44"/>
      <c r="Z7" s="45"/>
      <c r="AA7" s="41">
        <f t="shared" si="5"/>
        <v>400000</v>
      </c>
    </row>
    <row r="8" ht="18.0" customHeight="1">
      <c r="A8" s="36" t="s">
        <v>66</v>
      </c>
      <c r="B8" s="37">
        <v>100000.0</v>
      </c>
      <c r="C8" s="40">
        <v>0.0</v>
      </c>
      <c r="D8" s="39">
        <f t="shared" si="1"/>
        <v>0</v>
      </c>
      <c r="E8" s="38">
        <v>100.0</v>
      </c>
      <c r="F8" s="39">
        <f t="shared" si="2"/>
        <v>100000</v>
      </c>
      <c r="G8" s="38">
        <v>100.0</v>
      </c>
      <c r="H8" s="39">
        <f t="shared" si="3"/>
        <v>100000</v>
      </c>
      <c r="I8" s="38">
        <v>100.0</v>
      </c>
      <c r="J8" s="39">
        <f t="shared" si="4"/>
        <v>100000</v>
      </c>
      <c r="K8" s="38"/>
      <c r="L8" s="39"/>
      <c r="M8" s="38"/>
      <c r="N8" s="39"/>
      <c r="O8" s="38"/>
      <c r="P8" s="39"/>
      <c r="Q8" s="38"/>
      <c r="R8" s="39"/>
      <c r="S8" s="38"/>
      <c r="T8" s="39"/>
      <c r="U8" s="38"/>
      <c r="V8" s="39"/>
      <c r="W8" s="38"/>
      <c r="X8" s="39"/>
      <c r="Y8" s="38"/>
      <c r="Z8" s="39"/>
      <c r="AA8" s="41">
        <f t="shared" si="5"/>
        <v>300000</v>
      </c>
    </row>
    <row r="9" ht="18.0" customHeight="1">
      <c r="A9" s="42" t="s">
        <v>67</v>
      </c>
      <c r="B9" s="43">
        <v>3800000.0</v>
      </c>
      <c r="C9" s="46">
        <v>0.0</v>
      </c>
      <c r="D9" s="45">
        <f t="shared" si="1"/>
        <v>0</v>
      </c>
      <c r="E9" s="46">
        <v>0.0</v>
      </c>
      <c r="F9" s="45">
        <f t="shared" si="2"/>
        <v>0</v>
      </c>
      <c r="G9" s="46">
        <v>0.0</v>
      </c>
      <c r="H9" s="45">
        <f t="shared" si="3"/>
        <v>0</v>
      </c>
      <c r="I9" s="44">
        <v>100.0</v>
      </c>
      <c r="J9" s="45">
        <f t="shared" si="4"/>
        <v>3800000</v>
      </c>
      <c r="K9" s="44"/>
      <c r="L9" s="45"/>
      <c r="M9" s="44"/>
      <c r="N9" s="45"/>
      <c r="O9" s="44"/>
      <c r="P9" s="45"/>
      <c r="Q9" s="44"/>
      <c r="R9" s="45"/>
      <c r="S9" s="44"/>
      <c r="T9" s="45"/>
      <c r="U9" s="44"/>
      <c r="V9" s="45"/>
      <c r="W9" s="44"/>
      <c r="X9" s="45"/>
      <c r="Y9" s="44"/>
      <c r="Z9" s="45"/>
      <c r="AA9" s="41">
        <f t="shared" si="5"/>
        <v>3800000</v>
      </c>
    </row>
    <row r="10" ht="18.0" customHeight="1">
      <c r="A10" s="36" t="s">
        <v>68</v>
      </c>
      <c r="B10" s="37">
        <v>120000.0</v>
      </c>
      <c r="C10" s="40">
        <v>100.0</v>
      </c>
      <c r="D10" s="39">
        <f t="shared" si="1"/>
        <v>120000</v>
      </c>
      <c r="E10" s="38">
        <v>100.0</v>
      </c>
      <c r="F10" s="39">
        <f t="shared" si="2"/>
        <v>120000</v>
      </c>
      <c r="G10" s="38">
        <v>100.0</v>
      </c>
      <c r="H10" s="39">
        <f t="shared" si="3"/>
        <v>120000</v>
      </c>
      <c r="I10" s="40">
        <v>100.0</v>
      </c>
      <c r="J10" s="39">
        <f t="shared" si="4"/>
        <v>120000</v>
      </c>
      <c r="K10" s="38"/>
      <c r="L10" s="39"/>
      <c r="M10" s="38"/>
      <c r="N10" s="39"/>
      <c r="O10" s="38"/>
      <c r="P10" s="39"/>
      <c r="Q10" s="38"/>
      <c r="R10" s="39"/>
      <c r="S10" s="38"/>
      <c r="T10" s="39"/>
      <c r="U10" s="38"/>
      <c r="V10" s="39"/>
      <c r="W10" s="38"/>
      <c r="X10" s="39"/>
      <c r="Y10" s="38"/>
      <c r="Z10" s="39"/>
      <c r="AA10" s="41">
        <f t="shared" si="5"/>
        <v>480000</v>
      </c>
    </row>
    <row r="11" ht="18.0" customHeight="1">
      <c r="A11" s="42" t="s">
        <v>69</v>
      </c>
      <c r="B11" s="43">
        <v>50000.0</v>
      </c>
      <c r="C11" s="44">
        <v>100.0</v>
      </c>
      <c r="D11" s="45">
        <f t="shared" si="1"/>
        <v>50000</v>
      </c>
      <c r="E11" s="44">
        <v>100.0</v>
      </c>
      <c r="F11" s="45">
        <f t="shared" si="2"/>
        <v>50000</v>
      </c>
      <c r="G11" s="44">
        <v>100.0</v>
      </c>
      <c r="H11" s="45">
        <f t="shared" si="3"/>
        <v>50000</v>
      </c>
      <c r="I11" s="44">
        <v>100.0</v>
      </c>
      <c r="J11" s="45">
        <f t="shared" si="4"/>
        <v>50000</v>
      </c>
      <c r="K11" s="44"/>
      <c r="L11" s="45"/>
      <c r="M11" s="44"/>
      <c r="N11" s="45"/>
      <c r="O11" s="44"/>
      <c r="P11" s="45"/>
      <c r="Q11" s="44"/>
      <c r="R11" s="45"/>
      <c r="S11" s="44"/>
      <c r="T11" s="45"/>
      <c r="U11" s="44"/>
      <c r="V11" s="45"/>
      <c r="W11" s="44"/>
      <c r="X11" s="45"/>
      <c r="Y11" s="44"/>
      <c r="Z11" s="45"/>
      <c r="AA11" s="41">
        <f t="shared" si="5"/>
        <v>200000</v>
      </c>
    </row>
    <row r="12">
      <c r="B12" s="47"/>
      <c r="D12" s="47"/>
      <c r="F12" s="47"/>
      <c r="H12" s="47"/>
      <c r="J12" s="47"/>
      <c r="L12" s="47"/>
      <c r="N12" s="47"/>
      <c r="P12" s="47"/>
      <c r="R12" s="47"/>
      <c r="T12" s="47"/>
      <c r="V12" s="47"/>
      <c r="X12" s="47"/>
      <c r="Z12" s="47"/>
      <c r="AA12" s="47"/>
    </row>
    <row r="13" ht="19.5" customHeight="1">
      <c r="B13" s="47"/>
      <c r="D13" s="47"/>
      <c r="F13" s="47"/>
      <c r="H13" s="47"/>
      <c r="J13" s="47"/>
      <c r="L13" s="47"/>
      <c r="N13" s="47"/>
      <c r="P13" s="47"/>
      <c r="R13" s="47"/>
      <c r="T13" s="47"/>
      <c r="V13" s="47"/>
      <c r="X13" s="47"/>
      <c r="Z13" s="48" t="s">
        <v>51</v>
      </c>
      <c r="AA13" s="49">
        <f>SUM(AA6:AA11)</f>
        <v>5780000</v>
      </c>
    </row>
    <row r="15">
      <c r="Z15" s="50"/>
      <c r="AA15" s="5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O4:P4"/>
    <mergeCell ref="Q4:R4"/>
    <mergeCell ref="S4:T4"/>
    <mergeCell ref="U4:V4"/>
    <mergeCell ref="W4:X4"/>
    <mergeCell ref="Y4:Z4"/>
    <mergeCell ref="A1:AA1"/>
    <mergeCell ref="C4:D4"/>
    <mergeCell ref="E4:F4"/>
    <mergeCell ref="G4:H4"/>
    <mergeCell ref="I4:J4"/>
    <mergeCell ref="K4:L4"/>
    <mergeCell ref="M4:N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8.14"/>
    <col customWidth="1" min="2" max="2" width="22.0"/>
    <col customWidth="1" min="3" max="3" width="8.0"/>
    <col customWidth="1" min="4" max="4" width="12.0"/>
    <col customWidth="1" min="5" max="5" width="8.0"/>
    <col customWidth="1" min="6" max="6" width="12.0"/>
    <col customWidth="1" min="7" max="7" width="8.0"/>
    <col customWidth="1" min="8" max="8" width="12.0"/>
    <col customWidth="1" min="9" max="9" width="8.0"/>
    <col customWidth="1" min="10" max="10" width="12.0"/>
    <col customWidth="1" min="11" max="11" width="8.0"/>
    <col customWidth="1" min="12" max="12" width="12.0"/>
    <col customWidth="1" min="13" max="13" width="8.0"/>
    <col customWidth="1" min="14" max="14" width="12.0"/>
    <col customWidth="1" min="15" max="15" width="8.0"/>
    <col customWidth="1" min="16" max="16" width="12.0"/>
    <col customWidth="1" min="17" max="17" width="8.0"/>
    <col customWidth="1" min="18" max="18" width="12.0"/>
    <col customWidth="1" min="19" max="19" width="8.0"/>
    <col customWidth="1" min="20" max="20" width="12.0"/>
    <col customWidth="1" min="21" max="21" width="8.0"/>
    <col customWidth="1" min="22" max="22" width="12.0"/>
    <col customWidth="1" min="23" max="23" width="8.0"/>
    <col customWidth="1" min="24" max="24" width="12.0"/>
    <col customWidth="1" min="25" max="25" width="8.0"/>
    <col customWidth="1" min="26" max="26" width="12.0"/>
    <col customWidth="1" min="27" max="27" width="16.0"/>
  </cols>
  <sheetData>
    <row r="1" ht="27.75" customHeight="1">
      <c r="A1" s="27" t="s">
        <v>70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 ht="31.5" customHeight="1">
      <c r="A2" s="28" t="s">
        <v>29</v>
      </c>
    </row>
    <row r="3" ht="31.5" customHeight="1">
      <c r="A3" s="29"/>
    </row>
    <row r="4" ht="30.0" customHeight="1">
      <c r="A4" s="30"/>
      <c r="C4" s="31" t="s">
        <v>30</v>
      </c>
      <c r="D4" s="21"/>
      <c r="E4" s="31" t="s">
        <v>31</v>
      </c>
      <c r="F4" s="21"/>
      <c r="G4" s="31" t="s">
        <v>32</v>
      </c>
      <c r="H4" s="21"/>
      <c r="I4" s="31" t="s">
        <v>33</v>
      </c>
      <c r="J4" s="21"/>
      <c r="K4" s="32" t="s">
        <v>34</v>
      </c>
      <c r="L4" s="21"/>
      <c r="M4" s="32" t="s">
        <v>35</v>
      </c>
      <c r="N4" s="21"/>
      <c r="O4" s="32" t="s">
        <v>36</v>
      </c>
      <c r="P4" s="21"/>
      <c r="Q4" s="32" t="s">
        <v>37</v>
      </c>
      <c r="R4" s="21"/>
      <c r="S4" s="32" t="s">
        <v>38</v>
      </c>
      <c r="T4" s="21"/>
      <c r="U4" s="32" t="s">
        <v>39</v>
      </c>
      <c r="V4" s="21"/>
      <c r="W4" s="32" t="s">
        <v>40</v>
      </c>
      <c r="X4" s="21"/>
      <c r="Y4" s="32" t="s">
        <v>41</v>
      </c>
      <c r="Z4" s="21"/>
      <c r="AA4" s="33" t="s">
        <v>42</v>
      </c>
    </row>
    <row r="5" ht="30.0" customHeight="1">
      <c r="A5" s="34" t="s">
        <v>43</v>
      </c>
      <c r="B5" s="34" t="s">
        <v>44</v>
      </c>
      <c r="C5" s="35" t="s">
        <v>45</v>
      </c>
      <c r="D5" s="35" t="s">
        <v>46</v>
      </c>
      <c r="E5" s="35" t="s">
        <v>45</v>
      </c>
      <c r="F5" s="35" t="s">
        <v>46</v>
      </c>
      <c r="G5" s="35" t="s">
        <v>45</v>
      </c>
      <c r="H5" s="35" t="s">
        <v>46</v>
      </c>
      <c r="I5" s="35" t="s">
        <v>45</v>
      </c>
      <c r="J5" s="35" t="s">
        <v>46</v>
      </c>
      <c r="K5" s="35" t="s">
        <v>45</v>
      </c>
      <c r="L5" s="35" t="s">
        <v>46</v>
      </c>
      <c r="M5" s="35" t="s">
        <v>45</v>
      </c>
      <c r="N5" s="35" t="s">
        <v>46</v>
      </c>
      <c r="O5" s="35" t="s">
        <v>45</v>
      </c>
      <c r="P5" s="35" t="s">
        <v>46</v>
      </c>
      <c r="Q5" s="35" t="s">
        <v>45</v>
      </c>
      <c r="R5" s="35" t="s">
        <v>46</v>
      </c>
      <c r="S5" s="35" t="s">
        <v>45</v>
      </c>
      <c r="T5" s="35" t="s">
        <v>46</v>
      </c>
      <c r="U5" s="35" t="s">
        <v>45</v>
      </c>
      <c r="V5" s="35" t="s">
        <v>46</v>
      </c>
      <c r="W5" s="35" t="s">
        <v>45</v>
      </c>
      <c r="X5" s="35" t="s">
        <v>46</v>
      </c>
      <c r="Y5" s="35" t="s">
        <v>45</v>
      </c>
      <c r="Z5" s="35" t="s">
        <v>46</v>
      </c>
      <c r="AA5" s="33" t="s">
        <v>42</v>
      </c>
    </row>
    <row r="6" ht="18.0" customHeight="1">
      <c r="A6" s="36" t="s">
        <v>71</v>
      </c>
      <c r="B6" s="37">
        <v>350000.0</v>
      </c>
      <c r="C6" s="38">
        <v>100.0</v>
      </c>
      <c r="D6" s="39">
        <f t="shared" ref="D6:D10" si="1">($B6*($C6/100))</f>
        <v>350000</v>
      </c>
      <c r="E6" s="40">
        <v>0.0</v>
      </c>
      <c r="F6" s="39">
        <f t="shared" ref="F6:F10" si="2">($B6*($E6/100))</f>
        <v>0</v>
      </c>
      <c r="G6" s="40">
        <v>0.0</v>
      </c>
      <c r="H6" s="39">
        <f t="shared" ref="H6:H10" si="3">($B6*($G6/100))</f>
        <v>0</v>
      </c>
      <c r="I6" s="40">
        <v>0.0</v>
      </c>
      <c r="J6" s="39">
        <f t="shared" ref="J6:J10" si="4">($B6*($I6/100))</f>
        <v>0</v>
      </c>
      <c r="K6" s="38"/>
      <c r="L6" s="39"/>
      <c r="M6" s="38"/>
      <c r="N6" s="39"/>
      <c r="O6" s="38"/>
      <c r="P6" s="39"/>
      <c r="Q6" s="38"/>
      <c r="R6" s="39"/>
      <c r="S6" s="38"/>
      <c r="T6" s="39"/>
      <c r="U6" s="38"/>
      <c r="V6" s="39"/>
      <c r="W6" s="38"/>
      <c r="X6" s="39"/>
      <c r="Y6" s="38"/>
      <c r="Z6" s="39"/>
      <c r="AA6" s="41">
        <f t="shared" ref="AA6:AA10" si="5">D6+F6+H6+J6+L6+N6+P6+R6+T6+V6+X6+Z6</f>
        <v>350000</v>
      </c>
    </row>
    <row r="7" ht="18.0" customHeight="1">
      <c r="A7" s="42" t="s">
        <v>72</v>
      </c>
      <c r="B7" s="43">
        <v>1000000.0</v>
      </c>
      <c r="C7" s="46">
        <v>0.0</v>
      </c>
      <c r="D7" s="45">
        <f t="shared" si="1"/>
        <v>0</v>
      </c>
      <c r="E7" s="46">
        <v>100.0</v>
      </c>
      <c r="F7" s="45">
        <f t="shared" si="2"/>
        <v>1000000</v>
      </c>
      <c r="G7" s="46">
        <v>0.0</v>
      </c>
      <c r="H7" s="45">
        <f t="shared" si="3"/>
        <v>0</v>
      </c>
      <c r="I7" s="46">
        <v>0.0</v>
      </c>
      <c r="J7" s="45">
        <f t="shared" si="4"/>
        <v>0</v>
      </c>
      <c r="K7" s="44"/>
      <c r="L7" s="45"/>
      <c r="M7" s="44"/>
      <c r="N7" s="45"/>
      <c r="O7" s="44"/>
      <c r="P7" s="45"/>
      <c r="Q7" s="44"/>
      <c r="R7" s="45"/>
      <c r="S7" s="44"/>
      <c r="T7" s="45"/>
      <c r="U7" s="44"/>
      <c r="V7" s="45"/>
      <c r="W7" s="44"/>
      <c r="X7" s="45"/>
      <c r="Y7" s="44"/>
      <c r="Z7" s="45"/>
      <c r="AA7" s="41">
        <f t="shared" si="5"/>
        <v>1000000</v>
      </c>
    </row>
    <row r="8" ht="18.0" customHeight="1">
      <c r="A8" s="36" t="s">
        <v>73</v>
      </c>
      <c r="B8" s="37">
        <v>1500000.0</v>
      </c>
      <c r="C8" s="40">
        <v>0.0</v>
      </c>
      <c r="D8" s="39">
        <f t="shared" si="1"/>
        <v>0</v>
      </c>
      <c r="E8" s="40">
        <v>0.0</v>
      </c>
      <c r="F8" s="39">
        <f t="shared" si="2"/>
        <v>0</v>
      </c>
      <c r="G8" s="40">
        <v>0.0</v>
      </c>
      <c r="H8" s="39">
        <f t="shared" si="3"/>
        <v>0</v>
      </c>
      <c r="I8" s="40">
        <v>100.0</v>
      </c>
      <c r="J8" s="39">
        <f t="shared" si="4"/>
        <v>1500000</v>
      </c>
      <c r="K8" s="38"/>
      <c r="L8" s="39"/>
      <c r="M8" s="38"/>
      <c r="N8" s="39"/>
      <c r="O8" s="38"/>
      <c r="P8" s="39"/>
      <c r="Q8" s="38"/>
      <c r="R8" s="39"/>
      <c r="S8" s="38"/>
      <c r="T8" s="39"/>
      <c r="U8" s="38"/>
      <c r="V8" s="39"/>
      <c r="W8" s="38"/>
      <c r="X8" s="39"/>
      <c r="Y8" s="38"/>
      <c r="Z8" s="39"/>
      <c r="AA8" s="41">
        <f t="shared" si="5"/>
        <v>1500000</v>
      </c>
    </row>
    <row r="9" ht="18.0" customHeight="1">
      <c r="A9" s="42" t="s">
        <v>74</v>
      </c>
      <c r="B9" s="43">
        <v>300000.0</v>
      </c>
      <c r="C9" s="46">
        <v>0.0</v>
      </c>
      <c r="D9" s="45">
        <f t="shared" si="1"/>
        <v>0</v>
      </c>
      <c r="E9" s="46">
        <v>0.0</v>
      </c>
      <c r="F9" s="45">
        <f t="shared" si="2"/>
        <v>0</v>
      </c>
      <c r="G9" s="46">
        <v>0.0</v>
      </c>
      <c r="H9" s="45">
        <f t="shared" si="3"/>
        <v>0</v>
      </c>
      <c r="I9" s="46">
        <v>100.0</v>
      </c>
      <c r="J9" s="45">
        <f t="shared" si="4"/>
        <v>300000</v>
      </c>
      <c r="K9" s="44"/>
      <c r="L9" s="45"/>
      <c r="M9" s="44"/>
      <c r="N9" s="45"/>
      <c r="O9" s="44"/>
      <c r="P9" s="45"/>
      <c r="Q9" s="44"/>
      <c r="R9" s="45"/>
      <c r="S9" s="44"/>
      <c r="T9" s="45"/>
      <c r="U9" s="44"/>
      <c r="V9" s="45"/>
      <c r="W9" s="44"/>
      <c r="X9" s="45"/>
      <c r="Y9" s="44"/>
      <c r="Z9" s="45"/>
      <c r="AA9" s="41">
        <f t="shared" si="5"/>
        <v>300000</v>
      </c>
    </row>
    <row r="10" ht="18.0" customHeight="1">
      <c r="A10" s="36" t="s">
        <v>75</v>
      </c>
      <c r="B10" s="37">
        <v>250000.0</v>
      </c>
      <c r="C10" s="40">
        <v>0.0</v>
      </c>
      <c r="D10" s="39">
        <f t="shared" si="1"/>
        <v>0</v>
      </c>
      <c r="E10" s="40">
        <v>0.0</v>
      </c>
      <c r="F10" s="39">
        <f t="shared" si="2"/>
        <v>0</v>
      </c>
      <c r="G10" s="40">
        <v>0.0</v>
      </c>
      <c r="H10" s="39">
        <f t="shared" si="3"/>
        <v>0</v>
      </c>
      <c r="I10" s="40">
        <v>100.0</v>
      </c>
      <c r="J10" s="39">
        <f t="shared" si="4"/>
        <v>250000</v>
      </c>
      <c r="K10" s="38"/>
      <c r="L10" s="39"/>
      <c r="M10" s="38"/>
      <c r="N10" s="39"/>
      <c r="O10" s="38"/>
      <c r="P10" s="39"/>
      <c r="Q10" s="38"/>
      <c r="R10" s="39"/>
      <c r="S10" s="38"/>
      <c r="T10" s="39"/>
      <c r="U10" s="38"/>
      <c r="V10" s="39"/>
      <c r="W10" s="38"/>
      <c r="X10" s="39"/>
      <c r="Y10" s="38"/>
      <c r="Z10" s="39"/>
      <c r="AA10" s="41">
        <f t="shared" si="5"/>
        <v>250000</v>
      </c>
    </row>
    <row r="11">
      <c r="B11" s="47"/>
      <c r="D11" s="47"/>
      <c r="F11" s="47"/>
      <c r="H11" s="47"/>
      <c r="J11" s="47"/>
      <c r="L11" s="47"/>
      <c r="N11" s="47"/>
      <c r="P11" s="47"/>
      <c r="R11" s="47"/>
      <c r="T11" s="47"/>
      <c r="V11" s="47"/>
      <c r="X11" s="47"/>
      <c r="Z11" s="47"/>
      <c r="AA11" s="47"/>
    </row>
    <row r="12" ht="19.5" customHeight="1">
      <c r="Z12" s="67" t="s">
        <v>51</v>
      </c>
      <c r="AA12" s="49">
        <f>SUM(AA6:AA10)</f>
        <v>3400000</v>
      </c>
    </row>
    <row r="13">
      <c r="Z13" s="50"/>
      <c r="AA13" s="5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O4:P4"/>
    <mergeCell ref="Q4:R4"/>
    <mergeCell ref="S4:T4"/>
    <mergeCell ref="U4:V4"/>
    <mergeCell ref="W4:X4"/>
    <mergeCell ref="Y4:Z4"/>
    <mergeCell ref="A1:AA1"/>
    <mergeCell ref="C4:D4"/>
    <mergeCell ref="E4:F4"/>
    <mergeCell ref="G4:H4"/>
    <mergeCell ref="I4:J4"/>
    <mergeCell ref="K4:L4"/>
    <mergeCell ref="M4:N4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6.0"/>
    <col customWidth="1" min="2" max="2" width="22.0"/>
    <col customWidth="1" min="3" max="3" width="8.0"/>
    <col customWidth="1" min="4" max="4" width="12.0"/>
    <col customWidth="1" min="5" max="5" width="8.0"/>
    <col customWidth="1" min="6" max="6" width="12.0"/>
    <col customWidth="1" min="7" max="7" width="8.0"/>
    <col customWidth="1" min="8" max="8" width="12.0"/>
    <col customWidth="1" min="9" max="9" width="8.0"/>
    <col customWidth="1" min="10" max="10" width="12.0"/>
    <col customWidth="1" min="11" max="11" width="8.0"/>
    <col customWidth="1" min="12" max="12" width="12.0"/>
    <col customWidth="1" min="13" max="13" width="8.0"/>
    <col customWidth="1" min="14" max="14" width="12.0"/>
    <col customWidth="1" min="15" max="15" width="8.0"/>
    <col customWidth="1" min="16" max="16" width="12.0"/>
    <col customWidth="1" min="17" max="17" width="8.0"/>
    <col customWidth="1" min="18" max="18" width="12.0"/>
    <col customWidth="1" min="19" max="19" width="8.0"/>
    <col customWidth="1" min="20" max="20" width="12.0"/>
    <col customWidth="1" min="21" max="21" width="8.0"/>
    <col customWidth="1" min="22" max="22" width="12.0"/>
    <col customWidth="1" min="23" max="23" width="8.0"/>
    <col customWidth="1" min="24" max="24" width="12.0"/>
    <col customWidth="1" min="25" max="25" width="8.0"/>
    <col customWidth="1" min="26" max="26" width="12.0"/>
    <col customWidth="1" min="27" max="27" width="16.0"/>
  </cols>
  <sheetData>
    <row r="1" ht="27.75" customHeight="1">
      <c r="A1" s="27" t="s">
        <v>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 ht="31.5" customHeight="1">
      <c r="A2" s="28" t="s">
        <v>29</v>
      </c>
    </row>
    <row r="3" ht="31.5" customHeight="1">
      <c r="A3" s="29"/>
    </row>
    <row r="4" ht="30.0" customHeight="1">
      <c r="A4" s="30"/>
      <c r="C4" s="31" t="s">
        <v>30</v>
      </c>
      <c r="D4" s="21"/>
      <c r="E4" s="31" t="s">
        <v>31</v>
      </c>
      <c r="F4" s="21"/>
      <c r="G4" s="31" t="s">
        <v>32</v>
      </c>
      <c r="H4" s="21"/>
      <c r="I4" s="31" t="s">
        <v>33</v>
      </c>
      <c r="J4" s="21"/>
      <c r="K4" s="32" t="s">
        <v>34</v>
      </c>
      <c r="L4" s="21"/>
      <c r="M4" s="32" t="s">
        <v>35</v>
      </c>
      <c r="N4" s="21"/>
      <c r="O4" s="32" t="s">
        <v>36</v>
      </c>
      <c r="P4" s="21"/>
      <c r="Q4" s="32" t="s">
        <v>37</v>
      </c>
      <c r="R4" s="21"/>
      <c r="S4" s="32" t="s">
        <v>38</v>
      </c>
      <c r="T4" s="21"/>
      <c r="U4" s="32" t="s">
        <v>39</v>
      </c>
      <c r="V4" s="21"/>
      <c r="W4" s="32" t="s">
        <v>40</v>
      </c>
      <c r="X4" s="21"/>
      <c r="Y4" s="32" t="s">
        <v>41</v>
      </c>
      <c r="Z4" s="21"/>
      <c r="AA4" s="33" t="s">
        <v>42</v>
      </c>
    </row>
    <row r="5" ht="30.0" customHeight="1">
      <c r="A5" s="34" t="s">
        <v>43</v>
      </c>
      <c r="B5" s="34" t="s">
        <v>44</v>
      </c>
      <c r="C5" s="35" t="s">
        <v>45</v>
      </c>
      <c r="D5" s="35" t="s">
        <v>46</v>
      </c>
      <c r="E5" s="35" t="s">
        <v>45</v>
      </c>
      <c r="F5" s="35" t="s">
        <v>46</v>
      </c>
      <c r="G5" s="35" t="s">
        <v>45</v>
      </c>
      <c r="H5" s="35" t="s">
        <v>46</v>
      </c>
      <c r="I5" s="35" t="s">
        <v>45</v>
      </c>
      <c r="J5" s="35" t="s">
        <v>46</v>
      </c>
      <c r="K5" s="35" t="s">
        <v>45</v>
      </c>
      <c r="L5" s="35" t="s">
        <v>46</v>
      </c>
      <c r="M5" s="35" t="s">
        <v>45</v>
      </c>
      <c r="N5" s="35" t="s">
        <v>46</v>
      </c>
      <c r="O5" s="35" t="s">
        <v>45</v>
      </c>
      <c r="P5" s="35" t="s">
        <v>46</v>
      </c>
      <c r="Q5" s="35" t="s">
        <v>45</v>
      </c>
      <c r="R5" s="35" t="s">
        <v>46</v>
      </c>
      <c r="S5" s="35" t="s">
        <v>45</v>
      </c>
      <c r="T5" s="35" t="s">
        <v>46</v>
      </c>
      <c r="U5" s="35" t="s">
        <v>45</v>
      </c>
      <c r="V5" s="35" t="s">
        <v>46</v>
      </c>
      <c r="W5" s="35" t="s">
        <v>45</v>
      </c>
      <c r="X5" s="35" t="s">
        <v>46</v>
      </c>
      <c r="Y5" s="35" t="s">
        <v>45</v>
      </c>
      <c r="Z5" s="35" t="s">
        <v>46</v>
      </c>
      <c r="AA5" s="33" t="s">
        <v>42</v>
      </c>
    </row>
    <row r="6" ht="18.0" customHeight="1">
      <c r="A6" s="36" t="s">
        <v>77</v>
      </c>
      <c r="B6" s="37">
        <v>30000.0</v>
      </c>
      <c r="C6" s="38">
        <v>100.0</v>
      </c>
      <c r="D6" s="39">
        <f t="shared" ref="D6:D9" si="1">($B6*($C6/100))</f>
        <v>30000</v>
      </c>
      <c r="E6" s="38">
        <v>100.0</v>
      </c>
      <c r="F6" s="39">
        <f t="shared" ref="F6:F9" si="2">($B6*($E6/100))</f>
        <v>30000</v>
      </c>
      <c r="G6" s="38">
        <v>100.0</v>
      </c>
      <c r="H6" s="39">
        <f t="shared" ref="H6:H9" si="3">($B6*($G6/100))</f>
        <v>30000</v>
      </c>
      <c r="I6" s="38">
        <v>100.0</v>
      </c>
      <c r="J6" s="39">
        <f t="shared" ref="J6:J9" si="4">($B6*($I6/100))</f>
        <v>30000</v>
      </c>
      <c r="K6" s="38"/>
      <c r="L6" s="39"/>
      <c r="M6" s="38"/>
      <c r="N6" s="39"/>
      <c r="O6" s="38"/>
      <c r="P6" s="39"/>
      <c r="Q6" s="38"/>
      <c r="R6" s="39"/>
      <c r="S6" s="38"/>
      <c r="T6" s="39"/>
      <c r="U6" s="38"/>
      <c r="V6" s="39"/>
      <c r="W6" s="38"/>
      <c r="X6" s="39"/>
      <c r="Y6" s="38"/>
      <c r="Z6" s="39"/>
      <c r="AA6" s="41">
        <f t="shared" ref="AA6:AA9" si="5">D6+F6+H6+J6+L6+N6+P6+R6+T6+V6+X6+Z6</f>
        <v>120000</v>
      </c>
    </row>
    <row r="7" ht="18.0" customHeight="1">
      <c r="A7" s="42" t="s">
        <v>78</v>
      </c>
      <c r="B7" s="68">
        <v>100000.0</v>
      </c>
      <c r="C7" s="46">
        <v>0.0</v>
      </c>
      <c r="D7" s="45">
        <f t="shared" si="1"/>
        <v>0</v>
      </c>
      <c r="E7" s="46">
        <v>0.0</v>
      </c>
      <c r="F7" s="39">
        <f t="shared" si="2"/>
        <v>0</v>
      </c>
      <c r="G7" s="46">
        <v>0.0</v>
      </c>
      <c r="H7" s="39">
        <f t="shared" si="3"/>
        <v>0</v>
      </c>
      <c r="I7" s="46">
        <v>100.0</v>
      </c>
      <c r="J7" s="39">
        <f t="shared" si="4"/>
        <v>100000</v>
      </c>
      <c r="K7" s="44"/>
      <c r="L7" s="45"/>
      <c r="M7" s="44"/>
      <c r="N7" s="45"/>
      <c r="O7" s="44"/>
      <c r="P7" s="45"/>
      <c r="Q7" s="44"/>
      <c r="R7" s="45"/>
      <c r="S7" s="44"/>
      <c r="T7" s="45"/>
      <c r="U7" s="44"/>
      <c r="V7" s="45"/>
      <c r="W7" s="44"/>
      <c r="X7" s="45"/>
      <c r="Y7" s="44"/>
      <c r="Z7" s="45"/>
      <c r="AA7" s="41">
        <f t="shared" si="5"/>
        <v>100000</v>
      </c>
    </row>
    <row r="8" ht="18.0" customHeight="1">
      <c r="A8" s="36" t="s">
        <v>79</v>
      </c>
      <c r="B8" s="37">
        <v>50000.0</v>
      </c>
      <c r="C8" s="40">
        <v>0.0</v>
      </c>
      <c r="D8" s="39">
        <f t="shared" si="1"/>
        <v>0</v>
      </c>
      <c r="E8" s="38">
        <v>100.0</v>
      </c>
      <c r="F8" s="39">
        <f t="shared" si="2"/>
        <v>50000</v>
      </c>
      <c r="G8" s="38">
        <v>100.0</v>
      </c>
      <c r="H8" s="39">
        <f t="shared" si="3"/>
        <v>50000</v>
      </c>
      <c r="I8" s="38">
        <v>100.0</v>
      </c>
      <c r="J8" s="39">
        <f t="shared" si="4"/>
        <v>50000</v>
      </c>
      <c r="K8" s="38"/>
      <c r="L8" s="39"/>
      <c r="M8" s="38"/>
      <c r="N8" s="39"/>
      <c r="O8" s="38"/>
      <c r="P8" s="39"/>
      <c r="Q8" s="38"/>
      <c r="R8" s="39"/>
      <c r="S8" s="38"/>
      <c r="T8" s="39"/>
      <c r="U8" s="38"/>
      <c r="V8" s="39"/>
      <c r="W8" s="38"/>
      <c r="X8" s="39"/>
      <c r="Y8" s="38"/>
      <c r="Z8" s="39"/>
      <c r="AA8" s="41">
        <f t="shared" si="5"/>
        <v>150000</v>
      </c>
    </row>
    <row r="9" ht="18.0" customHeight="1">
      <c r="A9" s="42" t="s">
        <v>80</v>
      </c>
      <c r="B9" s="43">
        <v>75000.0</v>
      </c>
      <c r="C9" s="44">
        <v>100.0</v>
      </c>
      <c r="D9" s="45">
        <f t="shared" si="1"/>
        <v>75000</v>
      </c>
      <c r="E9" s="44">
        <v>100.0</v>
      </c>
      <c r="F9" s="45">
        <f t="shared" si="2"/>
        <v>75000</v>
      </c>
      <c r="G9" s="44">
        <v>100.0</v>
      </c>
      <c r="H9" s="45">
        <f t="shared" si="3"/>
        <v>75000</v>
      </c>
      <c r="I9" s="44">
        <v>100.0</v>
      </c>
      <c r="J9" s="45">
        <f t="shared" si="4"/>
        <v>75000</v>
      </c>
      <c r="K9" s="44"/>
      <c r="L9" s="45"/>
      <c r="M9" s="44"/>
      <c r="N9" s="45"/>
      <c r="O9" s="44"/>
      <c r="P9" s="45"/>
      <c r="Q9" s="44"/>
      <c r="R9" s="45"/>
      <c r="S9" s="44"/>
      <c r="T9" s="45"/>
      <c r="U9" s="44"/>
      <c r="V9" s="45"/>
      <c r="W9" s="44"/>
      <c r="X9" s="45"/>
      <c r="Y9" s="44"/>
      <c r="Z9" s="45"/>
      <c r="AA9" s="41">
        <f t="shared" si="5"/>
        <v>300000</v>
      </c>
    </row>
    <row r="10">
      <c r="B10" s="47"/>
      <c r="D10" s="47"/>
      <c r="F10" s="47"/>
      <c r="H10" s="47"/>
      <c r="J10" s="47"/>
      <c r="L10" s="47"/>
      <c r="N10" s="47"/>
      <c r="P10" s="47"/>
      <c r="R10" s="47"/>
      <c r="T10" s="47"/>
      <c r="V10" s="47"/>
      <c r="X10" s="47"/>
      <c r="Z10" s="47"/>
      <c r="AA10" s="47"/>
    </row>
    <row r="11" ht="19.5" customHeight="1">
      <c r="B11" s="47"/>
      <c r="D11" s="47"/>
      <c r="F11" s="47"/>
      <c r="H11" s="47"/>
      <c r="J11" s="47"/>
      <c r="L11" s="47"/>
      <c r="N11" s="47"/>
      <c r="P11" s="47"/>
      <c r="R11" s="47"/>
      <c r="T11" s="47"/>
      <c r="V11" s="47"/>
      <c r="X11" s="47"/>
      <c r="Z11" s="48" t="s">
        <v>51</v>
      </c>
      <c r="AA11" s="49">
        <f>SUM(AA6:AA9)</f>
        <v>670000</v>
      </c>
    </row>
    <row r="13">
      <c r="Z13" s="50"/>
      <c r="AA13" s="51"/>
    </row>
    <row r="20" ht="15.75" customHeight="1"/>
    <row r="21" ht="15.75" customHeight="1"/>
    <row r="22" ht="15.75" customHeight="1"/>
    <row r="23" ht="15.75" customHeight="1"/>
    <row r="24" ht="15.75" customHeight="1">
      <c r="U24" s="69" t="s">
        <v>81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O4:P4"/>
    <mergeCell ref="Q4:R4"/>
    <mergeCell ref="S4:T4"/>
    <mergeCell ref="U4:V4"/>
    <mergeCell ref="W4:X4"/>
    <mergeCell ref="Y4:Z4"/>
    <mergeCell ref="A1:AA1"/>
    <mergeCell ref="C4:D4"/>
    <mergeCell ref="E4:F4"/>
    <mergeCell ref="G4:H4"/>
    <mergeCell ref="I4:J4"/>
    <mergeCell ref="K4:L4"/>
    <mergeCell ref="M4:N4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6.0"/>
    <col customWidth="1" min="2" max="2" width="22.0"/>
    <col customWidth="1" min="3" max="3" width="8.0"/>
    <col customWidth="1" min="4" max="4" width="12.0"/>
    <col customWidth="1" min="5" max="5" width="8.0"/>
    <col customWidth="1" min="6" max="6" width="12.0"/>
    <col customWidth="1" min="7" max="7" width="8.0"/>
    <col customWidth="1" min="8" max="8" width="12.0"/>
    <col customWidth="1" min="9" max="9" width="8.0"/>
    <col customWidth="1" min="10" max="10" width="12.0"/>
    <col customWidth="1" min="11" max="11" width="8.0"/>
    <col customWidth="1" min="12" max="12" width="12.0"/>
    <col customWidth="1" min="13" max="13" width="8.0"/>
    <col customWidth="1" min="14" max="14" width="12.0"/>
    <col customWidth="1" min="15" max="15" width="8.0"/>
    <col customWidth="1" min="16" max="16" width="12.0"/>
    <col customWidth="1" min="17" max="17" width="8.0"/>
    <col customWidth="1" min="18" max="18" width="12.0"/>
    <col customWidth="1" min="19" max="19" width="8.0"/>
    <col customWidth="1" min="20" max="20" width="12.0"/>
    <col customWidth="1" min="21" max="21" width="8.0"/>
    <col customWidth="1" min="22" max="22" width="12.0"/>
    <col customWidth="1" min="23" max="23" width="8.0"/>
    <col customWidth="1" min="24" max="24" width="12.0"/>
    <col customWidth="1" min="25" max="25" width="8.0"/>
    <col customWidth="1" min="26" max="26" width="12.0"/>
    <col customWidth="1" min="27" max="27" width="16.0"/>
  </cols>
  <sheetData>
    <row r="1" ht="27.75" customHeight="1">
      <c r="A1" s="27" t="s">
        <v>82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1"/>
    </row>
    <row r="2" ht="31.5" customHeight="1">
      <c r="A2" s="28" t="s">
        <v>29</v>
      </c>
    </row>
    <row r="3" ht="31.5" customHeight="1">
      <c r="A3" s="29"/>
    </row>
    <row r="4" ht="30.0" customHeight="1">
      <c r="A4" s="30"/>
      <c r="C4" s="31" t="s">
        <v>30</v>
      </c>
      <c r="D4" s="21"/>
      <c r="E4" s="31" t="s">
        <v>31</v>
      </c>
      <c r="F4" s="21"/>
      <c r="G4" s="31" t="s">
        <v>32</v>
      </c>
      <c r="H4" s="21"/>
      <c r="I4" s="31" t="s">
        <v>33</v>
      </c>
      <c r="J4" s="21"/>
      <c r="K4" s="32" t="s">
        <v>34</v>
      </c>
      <c r="L4" s="21"/>
      <c r="M4" s="32" t="s">
        <v>35</v>
      </c>
      <c r="N4" s="21"/>
      <c r="O4" s="32" t="s">
        <v>36</v>
      </c>
      <c r="P4" s="21"/>
      <c r="Q4" s="32" t="s">
        <v>37</v>
      </c>
      <c r="R4" s="21"/>
      <c r="S4" s="32" t="s">
        <v>38</v>
      </c>
      <c r="T4" s="21"/>
      <c r="U4" s="32" t="s">
        <v>39</v>
      </c>
      <c r="V4" s="21"/>
      <c r="W4" s="32" t="s">
        <v>40</v>
      </c>
      <c r="X4" s="21"/>
      <c r="Y4" s="32" t="s">
        <v>41</v>
      </c>
      <c r="Z4" s="21"/>
      <c r="AA4" s="33" t="s">
        <v>42</v>
      </c>
    </row>
    <row r="5" ht="30.0" customHeight="1">
      <c r="A5" s="34" t="s">
        <v>43</v>
      </c>
      <c r="B5" s="34" t="s">
        <v>44</v>
      </c>
      <c r="C5" s="35" t="s">
        <v>45</v>
      </c>
      <c r="D5" s="35" t="s">
        <v>46</v>
      </c>
      <c r="E5" s="35" t="s">
        <v>45</v>
      </c>
      <c r="F5" s="35" t="s">
        <v>46</v>
      </c>
      <c r="G5" s="35" t="s">
        <v>45</v>
      </c>
      <c r="H5" s="35" t="s">
        <v>46</v>
      </c>
      <c r="I5" s="35" t="s">
        <v>45</v>
      </c>
      <c r="J5" s="35" t="s">
        <v>46</v>
      </c>
      <c r="K5" s="35" t="s">
        <v>45</v>
      </c>
      <c r="L5" s="35" t="s">
        <v>46</v>
      </c>
      <c r="M5" s="35" t="s">
        <v>45</v>
      </c>
      <c r="N5" s="35" t="s">
        <v>46</v>
      </c>
      <c r="O5" s="35" t="s">
        <v>45</v>
      </c>
      <c r="P5" s="35" t="s">
        <v>46</v>
      </c>
      <c r="Q5" s="35" t="s">
        <v>45</v>
      </c>
      <c r="R5" s="35" t="s">
        <v>46</v>
      </c>
      <c r="S5" s="35" t="s">
        <v>45</v>
      </c>
      <c r="T5" s="35" t="s">
        <v>46</v>
      </c>
      <c r="U5" s="35" t="s">
        <v>45</v>
      </c>
      <c r="V5" s="35" t="s">
        <v>46</v>
      </c>
      <c r="W5" s="35" t="s">
        <v>45</v>
      </c>
      <c r="X5" s="35" t="s">
        <v>46</v>
      </c>
      <c r="Y5" s="35" t="s">
        <v>45</v>
      </c>
      <c r="Z5" s="35" t="s">
        <v>46</v>
      </c>
      <c r="AA5" s="33" t="s">
        <v>42</v>
      </c>
    </row>
    <row r="6" ht="18.0" customHeight="1">
      <c r="A6" s="36" t="s">
        <v>83</v>
      </c>
      <c r="B6" s="37">
        <v>1200000.0</v>
      </c>
      <c r="C6" s="40">
        <v>100.0</v>
      </c>
      <c r="D6" s="45">
        <f t="shared" ref="D6:D12" si="1">($B6*($C6/100))</f>
        <v>1200000</v>
      </c>
      <c r="E6" s="40">
        <v>0.0</v>
      </c>
      <c r="F6" s="39">
        <f t="shared" ref="F6:F12" si="2">($B6*($E6/100))</f>
        <v>0</v>
      </c>
      <c r="G6" s="40">
        <v>0.0</v>
      </c>
      <c r="H6" s="39">
        <f t="shared" ref="H6:H12" si="3">($B6*($G6/100))</f>
        <v>0</v>
      </c>
      <c r="I6" s="40">
        <v>0.0</v>
      </c>
      <c r="J6" s="39">
        <f t="shared" ref="J6:J12" si="4">($B6*($I6/100))</f>
        <v>0</v>
      </c>
      <c r="K6" s="38"/>
      <c r="L6" s="39"/>
      <c r="M6" s="38"/>
      <c r="N6" s="39"/>
      <c r="O6" s="38"/>
      <c r="P6" s="39"/>
      <c r="Q6" s="38"/>
      <c r="R6" s="39"/>
      <c r="S6" s="38"/>
      <c r="T6" s="39"/>
      <c r="U6" s="38"/>
      <c r="V6" s="39"/>
      <c r="W6" s="38"/>
      <c r="X6" s="39"/>
      <c r="Y6" s="38"/>
      <c r="Z6" s="39"/>
      <c r="AA6" s="41">
        <f t="shared" ref="AA6:AA12" si="5">D6+F6+H6+J6+L6+N6+P6+R6+T6+V6+X6+Z6</f>
        <v>1200000</v>
      </c>
    </row>
    <row r="7" ht="18.0" customHeight="1">
      <c r="A7" s="42" t="s">
        <v>84</v>
      </c>
      <c r="B7" s="43">
        <v>87500.0</v>
      </c>
      <c r="C7" s="40">
        <v>100.0</v>
      </c>
      <c r="D7" s="45">
        <f t="shared" si="1"/>
        <v>87500</v>
      </c>
      <c r="E7" s="46">
        <v>100.0</v>
      </c>
      <c r="F7" s="39">
        <f t="shared" si="2"/>
        <v>87500</v>
      </c>
      <c r="G7" s="46">
        <v>100.0</v>
      </c>
      <c r="H7" s="45">
        <f t="shared" si="3"/>
        <v>87500</v>
      </c>
      <c r="I7" s="46">
        <v>100.0</v>
      </c>
      <c r="J7" s="39">
        <f t="shared" si="4"/>
        <v>87500</v>
      </c>
      <c r="K7" s="44"/>
      <c r="L7" s="45"/>
      <c r="M7" s="44"/>
      <c r="N7" s="45"/>
      <c r="O7" s="44"/>
      <c r="P7" s="45"/>
      <c r="Q7" s="44"/>
      <c r="R7" s="45"/>
      <c r="S7" s="44"/>
      <c r="T7" s="45"/>
      <c r="U7" s="44"/>
      <c r="V7" s="45"/>
      <c r="W7" s="44"/>
      <c r="X7" s="45"/>
      <c r="Y7" s="44"/>
      <c r="Z7" s="45"/>
      <c r="AA7" s="41">
        <f t="shared" si="5"/>
        <v>350000</v>
      </c>
    </row>
    <row r="8" ht="18.0" customHeight="1">
      <c r="A8" s="36" t="s">
        <v>85</v>
      </c>
      <c r="B8" s="37">
        <v>450000.0</v>
      </c>
      <c r="C8" s="40">
        <v>100.0</v>
      </c>
      <c r="D8" s="45">
        <f t="shared" si="1"/>
        <v>450000</v>
      </c>
      <c r="E8" s="40">
        <v>0.0</v>
      </c>
      <c r="F8" s="39">
        <f t="shared" si="2"/>
        <v>0</v>
      </c>
      <c r="G8" s="40">
        <v>0.0</v>
      </c>
      <c r="H8" s="39">
        <f t="shared" si="3"/>
        <v>0</v>
      </c>
      <c r="I8" s="40">
        <v>0.0</v>
      </c>
      <c r="J8" s="39">
        <f t="shared" si="4"/>
        <v>0</v>
      </c>
      <c r="K8" s="38"/>
      <c r="L8" s="39"/>
      <c r="M8" s="38"/>
      <c r="N8" s="39"/>
      <c r="O8" s="38"/>
      <c r="P8" s="39"/>
      <c r="Q8" s="38"/>
      <c r="R8" s="39"/>
      <c r="S8" s="38"/>
      <c r="T8" s="39"/>
      <c r="U8" s="38"/>
      <c r="V8" s="39"/>
      <c r="W8" s="38"/>
      <c r="X8" s="39"/>
      <c r="Y8" s="38"/>
      <c r="Z8" s="39"/>
      <c r="AA8" s="41">
        <f t="shared" si="5"/>
        <v>450000</v>
      </c>
    </row>
    <row r="9" ht="18.0" customHeight="1">
      <c r="A9" s="42" t="s">
        <v>86</v>
      </c>
      <c r="B9" s="43">
        <v>1200000.0</v>
      </c>
      <c r="C9" s="46">
        <v>0.0</v>
      </c>
      <c r="D9" s="45">
        <f t="shared" si="1"/>
        <v>0</v>
      </c>
      <c r="E9" s="40">
        <v>0.0</v>
      </c>
      <c r="F9" s="39">
        <f t="shared" si="2"/>
        <v>0</v>
      </c>
      <c r="G9" s="46">
        <v>100.0</v>
      </c>
      <c r="H9" s="45">
        <f t="shared" si="3"/>
        <v>1200000</v>
      </c>
      <c r="I9" s="46">
        <v>0.0</v>
      </c>
      <c r="J9" s="45">
        <f t="shared" si="4"/>
        <v>0</v>
      </c>
      <c r="K9" s="44"/>
      <c r="L9" s="45"/>
      <c r="M9" s="44"/>
      <c r="N9" s="45"/>
      <c r="O9" s="44"/>
      <c r="P9" s="45"/>
      <c r="Q9" s="44"/>
      <c r="R9" s="45"/>
      <c r="S9" s="44"/>
      <c r="T9" s="45"/>
      <c r="U9" s="44"/>
      <c r="V9" s="45"/>
      <c r="W9" s="44"/>
      <c r="X9" s="45"/>
      <c r="Y9" s="44"/>
      <c r="Z9" s="45"/>
      <c r="AA9" s="41">
        <f t="shared" si="5"/>
        <v>1200000</v>
      </c>
    </row>
    <row r="10" ht="18.0" customHeight="1">
      <c r="A10" s="36" t="s">
        <v>87</v>
      </c>
      <c r="B10" s="37">
        <v>4500000.0</v>
      </c>
      <c r="C10" s="40">
        <v>0.0</v>
      </c>
      <c r="D10" s="45">
        <f t="shared" si="1"/>
        <v>0</v>
      </c>
      <c r="E10" s="40">
        <v>0.0</v>
      </c>
      <c r="F10" s="39">
        <f t="shared" si="2"/>
        <v>0</v>
      </c>
      <c r="G10" s="40">
        <v>0.0</v>
      </c>
      <c r="H10" s="39">
        <f t="shared" si="3"/>
        <v>0</v>
      </c>
      <c r="I10" s="38">
        <v>100.0</v>
      </c>
      <c r="J10" s="39">
        <f t="shared" si="4"/>
        <v>4500000</v>
      </c>
      <c r="K10" s="38"/>
      <c r="L10" s="39"/>
      <c r="M10" s="38"/>
      <c r="N10" s="39"/>
      <c r="O10" s="38"/>
      <c r="P10" s="39"/>
      <c r="Q10" s="38"/>
      <c r="R10" s="39"/>
      <c r="S10" s="38"/>
      <c r="T10" s="39"/>
      <c r="U10" s="38"/>
      <c r="V10" s="39"/>
      <c r="W10" s="38"/>
      <c r="X10" s="39"/>
      <c r="Y10" s="38"/>
      <c r="Z10" s="39"/>
      <c r="AA10" s="41">
        <f t="shared" si="5"/>
        <v>4500000</v>
      </c>
    </row>
    <row r="11" ht="18.0" customHeight="1">
      <c r="A11" s="42" t="s">
        <v>88</v>
      </c>
      <c r="B11" s="43">
        <v>800000.0</v>
      </c>
      <c r="C11" s="46">
        <v>0.0</v>
      </c>
      <c r="D11" s="45">
        <f t="shared" si="1"/>
        <v>0</v>
      </c>
      <c r="E11" s="40">
        <v>0.0</v>
      </c>
      <c r="F11" s="39">
        <f t="shared" si="2"/>
        <v>0</v>
      </c>
      <c r="G11" s="46">
        <v>0.0</v>
      </c>
      <c r="H11" s="45">
        <f t="shared" si="3"/>
        <v>0</v>
      </c>
      <c r="I11" s="46">
        <v>100.0</v>
      </c>
      <c r="J11" s="45">
        <f t="shared" si="4"/>
        <v>800000</v>
      </c>
      <c r="K11" s="44"/>
      <c r="L11" s="45"/>
      <c r="M11" s="44"/>
      <c r="N11" s="45"/>
      <c r="O11" s="44"/>
      <c r="P11" s="45"/>
      <c r="Q11" s="44"/>
      <c r="R11" s="45"/>
      <c r="S11" s="44"/>
      <c r="T11" s="45"/>
      <c r="U11" s="44"/>
      <c r="V11" s="45"/>
      <c r="W11" s="44"/>
      <c r="X11" s="45"/>
      <c r="Y11" s="44"/>
      <c r="Z11" s="45"/>
      <c r="AA11" s="41">
        <f t="shared" si="5"/>
        <v>800000</v>
      </c>
    </row>
    <row r="12" ht="18.0" customHeight="1">
      <c r="A12" s="36" t="s">
        <v>89</v>
      </c>
      <c r="B12" s="37">
        <v>1500000.0</v>
      </c>
      <c r="C12" s="40">
        <v>0.0</v>
      </c>
      <c r="D12" s="45">
        <f t="shared" si="1"/>
        <v>0</v>
      </c>
      <c r="E12" s="40">
        <v>0.0</v>
      </c>
      <c r="F12" s="39">
        <f t="shared" si="2"/>
        <v>0</v>
      </c>
      <c r="G12" s="40">
        <v>0.0</v>
      </c>
      <c r="H12" s="39">
        <f t="shared" si="3"/>
        <v>0</v>
      </c>
      <c r="I12" s="38">
        <v>100.0</v>
      </c>
      <c r="J12" s="39">
        <f t="shared" si="4"/>
        <v>1500000</v>
      </c>
      <c r="K12" s="38"/>
      <c r="L12" s="39"/>
      <c r="M12" s="38"/>
      <c r="N12" s="39"/>
      <c r="O12" s="38"/>
      <c r="P12" s="39"/>
      <c r="Q12" s="38"/>
      <c r="R12" s="39"/>
      <c r="S12" s="38"/>
      <c r="T12" s="39"/>
      <c r="U12" s="38"/>
      <c r="V12" s="39"/>
      <c r="W12" s="38"/>
      <c r="X12" s="39"/>
      <c r="Y12" s="38"/>
      <c r="Z12" s="39"/>
      <c r="AA12" s="41">
        <f t="shared" si="5"/>
        <v>1500000</v>
      </c>
    </row>
    <row r="13">
      <c r="B13" s="47"/>
      <c r="D13" s="47"/>
      <c r="F13" s="47"/>
      <c r="H13" s="47"/>
      <c r="J13" s="47"/>
      <c r="L13" s="47"/>
      <c r="N13" s="47"/>
      <c r="P13" s="47"/>
      <c r="R13" s="47"/>
      <c r="T13" s="47"/>
      <c r="V13" s="47"/>
      <c r="X13" s="47"/>
      <c r="Z13" s="47"/>
      <c r="AA13" s="47"/>
    </row>
    <row r="14" ht="19.5" customHeight="1">
      <c r="Z14" s="67" t="s">
        <v>51</v>
      </c>
      <c r="AA14" s="49">
        <f>SUM(AA6:AA12)</f>
        <v>10000000</v>
      </c>
    </row>
    <row r="15">
      <c r="Z15" s="50"/>
      <c r="AA15" s="5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O4:P4"/>
    <mergeCell ref="Q4:R4"/>
    <mergeCell ref="S4:T4"/>
    <mergeCell ref="U4:V4"/>
    <mergeCell ref="W4:X4"/>
    <mergeCell ref="Y4:Z4"/>
    <mergeCell ref="A1:AA1"/>
    <mergeCell ref="C4:D4"/>
    <mergeCell ref="E4:F4"/>
    <mergeCell ref="G4:H4"/>
    <mergeCell ref="I4:J4"/>
    <mergeCell ref="K4:L4"/>
    <mergeCell ref="M4:N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2017-05-18T15:44:57Z</dcterms:created>
  <dc:creator>carfher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